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979d5721982bdfb/Desktop/INTERNSHIPS/Power BI Internship/DATASETS/"/>
    </mc:Choice>
  </mc:AlternateContent>
  <xr:revisionPtr revIDLastSave="42" documentId="8_{1ED37A14-551F-4571-BD53-D8CFB83F7DB2}" xr6:coauthVersionLast="47" xr6:coauthVersionMax="47" xr10:uidLastSave="{AF15A306-1747-4E4E-B2B2-D5A6B48BD639}"/>
  <bookViews>
    <workbookView xWindow="-120" yWindow="-120" windowWidth="20730" windowHeight="11040" activeTab="2" xr2:uid="{00000000-000D-0000-FFFF-FFFF00000000}"/>
  </bookViews>
  <sheets>
    <sheet name="Financial_Data" sheetId="1" r:id="rId1"/>
    <sheet name="Monthly_Summary" sheetId="2" r:id="rId2"/>
    <sheet name="Excel_Analysis" sheetId="3" r:id="rId3"/>
  </sheets>
  <definedNames>
    <definedName name="_xlnm._FilterDatabase" localSheetId="0" hidden="1">Financial_Data!$A$1:$W$601</definedName>
    <definedName name="_xlnm._FilterDatabase" localSheetId="1" hidden="1">Monthly_Summary!$A$1:$M$61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5" i="3"/>
  <c r="B3" i="3"/>
  <c r="B1" i="3"/>
</calcChain>
</file>

<file path=xl/sharedStrings.xml><?xml version="1.0" encoding="utf-8"?>
<sst xmlns="http://schemas.openxmlformats.org/spreadsheetml/2006/main" count="3800" uniqueCount="74">
  <si>
    <t>Transaction_ID</t>
  </si>
  <si>
    <t>Date</t>
  </si>
  <si>
    <t>Year</t>
  </si>
  <si>
    <t>Quarter</t>
  </si>
  <si>
    <t>Month</t>
  </si>
  <si>
    <t>Month_Number</t>
  </si>
  <si>
    <t>Department</t>
  </si>
  <si>
    <t>Region</t>
  </si>
  <si>
    <t>Income_Category</t>
  </si>
  <si>
    <t>Expense_Category</t>
  </si>
  <si>
    <t>Revenue</t>
  </si>
  <si>
    <t>Expenses</t>
  </si>
  <si>
    <t>Gross_Profit</t>
  </si>
  <si>
    <t>Tax</t>
  </si>
  <si>
    <t>Net_Profit</t>
  </si>
  <si>
    <t>Profit_Margin_Percent</t>
  </si>
  <si>
    <t>Total_Assets</t>
  </si>
  <si>
    <t>Total_Liabilities</t>
  </si>
  <si>
    <t>Total_Equity</t>
  </si>
  <si>
    <t>Operating_Cash_Flow</t>
  </si>
  <si>
    <t>Investing_Cash_Flow</t>
  </si>
  <si>
    <t>Financing_Cash_Flow</t>
  </si>
  <si>
    <t>Net_Cash_Flow</t>
  </si>
  <si>
    <t>2021</t>
  </si>
  <si>
    <t>January</t>
  </si>
  <si>
    <t>HR</t>
  </si>
  <si>
    <t>North</t>
  </si>
  <si>
    <t>Product Sales</t>
  </si>
  <si>
    <t>Rent</t>
  </si>
  <si>
    <t>Marketing</t>
  </si>
  <si>
    <t>East</t>
  </si>
  <si>
    <t>Service Revenue</t>
  </si>
  <si>
    <t>Salaries</t>
  </si>
  <si>
    <t>Sales</t>
  </si>
  <si>
    <t>West</t>
  </si>
  <si>
    <t>Other Income</t>
  </si>
  <si>
    <t>South</t>
  </si>
  <si>
    <t>Operations</t>
  </si>
  <si>
    <t>Consulting</t>
  </si>
  <si>
    <t>Travel</t>
  </si>
  <si>
    <t>Finance</t>
  </si>
  <si>
    <t>Technology</t>
  </si>
  <si>
    <t>February</t>
  </si>
  <si>
    <t>IT</t>
  </si>
  <si>
    <t>Utilities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</si>
  <si>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</si>
  <si>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</si>
  <si>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</si>
  <si>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</si>
  <si>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</si>
  <si>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</si>
  <si>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</si>
  <si>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</si>
  <si>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</si>
  <si>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</si>
  <si>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2022</t>
  </si>
  <si>
    <t>2023</t>
  </si>
  <si>
    <t>2024</t>
  </si>
  <si>
    <t>2025</t>
  </si>
  <si>
    <t>Total_Revenue</t>
  </si>
  <si>
    <t>Total_Expenses</t>
  </si>
  <si>
    <t>Q1</t>
  </si>
  <si>
    <t>Q2</t>
  </si>
  <si>
    <t>Q3</t>
  </si>
  <si>
    <t>Q4</t>
  </si>
  <si>
    <t>Total Revenue</t>
  </si>
  <si>
    <t>Total expenses</t>
  </si>
  <si>
    <t>Net profit</t>
  </si>
  <si>
    <t>Profit Margin</t>
  </si>
  <si>
    <t>Row Labels</t>
  </si>
  <si>
    <t>Grand Total</t>
  </si>
  <si>
    <t>Sum of Revenue</t>
  </si>
  <si>
    <t>Sum of Expenses</t>
  </si>
  <si>
    <t>Sum of Net_Profit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</si>
</sst>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ree" refreshedDate="46290.796514814814" createdVersion="8" refreshedVersion="8" minRefreshableVersion="3" recordCount="600" xr:uid="{264D6516-0C39-430E-86E0-C4C63367991F}">
  <cacheSource type="worksheet">
    <worksheetSource name="FinancialData"/>
  </cacheSource>
  <cacheFields count="23">
    <cacheField name="Transaction_ID" numFmtId="0">
      <sharedItems containsSemiMixedTypes="0" containsString="0" containsNumber="1" containsInteger="1" minValue="1" maxValue="600"/>
    </cacheField>
    <cacheField name="Date" numFmtId="164">
      <sharedItems containsSemiMixedTypes="0" containsNonDate="0" containsDate="1" containsString="0" minDate="2021-01-02T00:00:00" maxDate="2025-12-30T00:00:00"/>
    </cacheField>
    <cacheField name="Year" numFmtId="0">
      <sharedItems count="5">
        <s v="2021"/>
        <s v="2022"/>
        <s v="2023"/>
        <s v="2024"/>
        <s v="2025"/>
      </sharedItems>
    </cacheField>
    <cacheField name="Quarter" numFmtId="0">
      <sharedItems containsSemiMixedTypes="0" containsString="0" containsNumber="1" containsInteger="1" minValue="1" maxValue="4"/>
    </cacheField>
    <cacheField name="Month" numFmtId="0">
      <sharedItems/>
    </cacheField>
    <cacheField name="Month_Number" numFmtId="0">
      <sharedItems containsSemiMixedTypes="0" containsString="0" containsNumber="1" containsInteger="1" minValue="1" maxValue="12"/>
    </cacheField>
    <cacheField name="Department" numFmtId="0">
      <sharedItems count="6">
        <s v="HR"/>
        <s v="Marketing"/>
        <s v="Sales"/>
        <s v="Finance"/>
        <s v="Operations"/>
        <s v="IT"/>
      </sharedItems>
    </cacheField>
    <cacheField name="Region" numFmtId="0">
      <sharedItems count="4">
        <s v="North"/>
        <s v="East"/>
        <s v="West"/>
        <s v="South"/>
      </sharedItems>
    </cacheField>
    <cacheField name="Income_Category" numFmtId="0">
      <sharedItems/>
    </cacheField>
    <cacheField name="Expense_Category" numFmtId="0">
      <sharedItems count="7">
        <s v="Rent"/>
        <s v="Salaries"/>
        <s v="Marketing"/>
        <s v="Operations"/>
        <s v="Travel"/>
        <s v="Technology"/>
        <s v="Utilities"/>
      </sharedItems>
    </cacheField>
    <cacheField name="Revenue" numFmtId="4">
      <sharedItems containsSemiMixedTypes="0" containsString="0" containsNumber="1" minValue="25254.78" maxValue="179720.99"/>
    </cacheField>
    <cacheField name="Expenses" numFmtId="4">
      <sharedItems containsSemiMixedTypes="0" containsString="0" containsNumber="1" minValue="12011.15" maxValue="143604.34"/>
    </cacheField>
    <cacheField name="Gross_Profit" numFmtId="4">
      <sharedItems containsSemiMixedTypes="0" containsString="0" containsNumber="1" minValue="6299.82" maxValue="93861.94"/>
    </cacheField>
    <cacheField name="Tax" numFmtId="4">
      <sharedItems containsSemiMixedTypes="0" containsString="0" containsNumber="1" minValue="548.87" maxValue="20945.740000000002"/>
    </cacheField>
    <cacheField name="Net_Profit" numFmtId="4">
      <sharedItems containsSemiMixedTypes="0" containsString="0" containsNumber="1" minValue="4761.7" maxValue="83077"/>
    </cacheField>
    <cacheField name="Profit_Margin_Percent" numFmtId="2">
      <sharedItems containsSemiMixedTypes="0" containsString="0" containsNumber="1" minValue="14.09" maxValue="49.35"/>
    </cacheField>
    <cacheField name="Total_Assets" numFmtId="4">
      <sharedItems containsSemiMixedTypes="0" containsString="0" containsNumber="1" minValue="500847.8" maxValue="4998009.66"/>
    </cacheField>
    <cacheField name="Total_Liabilities" numFmtId="4">
      <sharedItems containsSemiMixedTypes="0" containsString="0" containsNumber="1" minValue="128922.22" maxValue="3098023.72"/>
    </cacheField>
    <cacheField name="Total_Equity" numFmtId="4">
      <sharedItems containsSemiMixedTypes="0" containsString="0" containsNumber="1" minValue="188571.94" maxValue="3680775.18"/>
    </cacheField>
    <cacheField name="Operating_Cash_Flow" numFmtId="4">
      <sharedItems containsSemiMixedTypes="0" containsString="0" containsNumber="1" minValue="-24670.95" maxValue="127658.35"/>
    </cacheField>
    <cacheField name="Investing_Cash_Flow" numFmtId="4">
      <sharedItems containsSemiMixedTypes="0" containsString="0" containsNumber="1" minValue="-69998.84" maxValue="29889.26"/>
    </cacheField>
    <cacheField name="Financing_Cash_Flow" numFmtId="4">
      <sharedItems containsSemiMixedTypes="0" containsString="0" containsNumber="1" minValue="-39897.050000000003" maxValue="59971.38"/>
    </cacheField>
    <cacheField name="Net_Cash_Flow" numFmtId="4">
      <sharedItems containsSemiMixedTypes="0" containsString="0" containsNumber="1" minValue="-103674.66" maxValue="166518.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336"/>
    <d v="2021-01-02T00:00:00"/>
    <x v="0"/>
    <n v="1"/>
    <s v="January"/>
    <n v="1"/>
    <x v="0"/>
    <x v="0"/>
    <s v="Product Sales"/>
    <x v="0"/>
    <n v="26675.72"/>
    <n v="20162.150000000001"/>
    <n v="6513.57"/>
    <n v="1408.02"/>
    <n v="5105.55"/>
    <n v="19.14"/>
    <n v="970045.33"/>
    <n v="466342.46"/>
    <n v="503702.87"/>
    <n v="12224.09"/>
    <n v="-58129.09"/>
    <n v="58056.82"/>
    <n v="12151.82"/>
  </r>
  <r>
    <n v="263"/>
    <d v="2021-01-02T00:00:00"/>
    <x v="0"/>
    <n v="1"/>
    <s v="January"/>
    <n v="1"/>
    <x v="1"/>
    <x v="1"/>
    <s v="Service Revenue"/>
    <x v="1"/>
    <n v="177217.68"/>
    <n v="131211.76999999999"/>
    <n v="46005.91"/>
    <n v="9417.08"/>
    <n v="36588.83"/>
    <n v="20.65"/>
    <n v="1022859.3"/>
    <n v="575254.39"/>
    <n v="447604.91"/>
    <n v="69410.33"/>
    <n v="-9889.73"/>
    <n v="59036.18"/>
    <n v="118556.78"/>
  </r>
  <r>
    <n v="529"/>
    <d v="2021-01-05T00:00:00"/>
    <x v="0"/>
    <n v="1"/>
    <s v="January"/>
    <n v="1"/>
    <x v="2"/>
    <x v="2"/>
    <s v="Other Income"/>
    <x v="2"/>
    <n v="92853.58"/>
    <n v="52447.16"/>
    <n v="40406.42"/>
    <n v="8467.65"/>
    <n v="31938.77"/>
    <n v="34.4"/>
    <n v="4712794.54"/>
    <n v="2951624.84"/>
    <n v="1761169.7"/>
    <n v="15921.27"/>
    <n v="17474.36"/>
    <n v="33743.14"/>
    <n v="67138.77"/>
  </r>
  <r>
    <n v="345"/>
    <d v="2021-01-09T00:00:00"/>
    <x v="0"/>
    <n v="1"/>
    <s v="January"/>
    <n v="1"/>
    <x v="0"/>
    <x v="3"/>
    <s v="Other Income"/>
    <x v="3"/>
    <n v="49223.97"/>
    <n v="26159.23"/>
    <n v="23064.74"/>
    <n v="3877.34"/>
    <n v="19187.400000000001"/>
    <n v="38.979999999999997"/>
    <n v="3695516.45"/>
    <n v="1065386.43"/>
    <n v="2630130.02"/>
    <n v="14602.98"/>
    <n v="26867.46"/>
    <n v="-13765.7"/>
    <n v="27704.74"/>
  </r>
  <r>
    <n v="67"/>
    <d v="2021-01-14T00:00:00"/>
    <x v="0"/>
    <n v="1"/>
    <s v="January"/>
    <n v="1"/>
    <x v="0"/>
    <x v="3"/>
    <s v="Consulting"/>
    <x v="4"/>
    <n v="52989.18"/>
    <n v="34980.26"/>
    <n v="18008.919999999998"/>
    <n v="4243.5"/>
    <n v="13765.42"/>
    <n v="25.98"/>
    <n v="652756.9"/>
    <n v="345287.58"/>
    <n v="307469.32"/>
    <n v="7553.34"/>
    <n v="22439.62"/>
    <n v="57105.82"/>
    <n v="87098.78"/>
  </r>
  <r>
    <n v="124"/>
    <d v="2021-01-15T00:00:00"/>
    <x v="0"/>
    <n v="1"/>
    <s v="January"/>
    <n v="1"/>
    <x v="3"/>
    <x v="2"/>
    <s v="Service Revenue"/>
    <x v="0"/>
    <n v="60131.74"/>
    <n v="34957.5"/>
    <n v="25174.240000000002"/>
    <n v="2311.0500000000002"/>
    <n v="22863.19"/>
    <n v="38.020000000000003"/>
    <n v="2835769.06"/>
    <n v="785635.71"/>
    <n v="2050133.35"/>
    <n v="56891.71"/>
    <n v="-46628.79"/>
    <n v="14001.19"/>
    <n v="24264.11"/>
  </r>
  <r>
    <n v="425"/>
    <d v="2021-01-17T00:00:00"/>
    <x v="0"/>
    <n v="1"/>
    <s v="January"/>
    <n v="1"/>
    <x v="4"/>
    <x v="0"/>
    <s v="Other Income"/>
    <x v="2"/>
    <n v="177324.63"/>
    <n v="96196.83"/>
    <n v="81127.8"/>
    <n v="7502.04"/>
    <n v="73625.759999999995"/>
    <n v="41.52"/>
    <n v="3484158.12"/>
    <n v="1700779.76"/>
    <n v="1783378.36"/>
    <n v="76837.41"/>
    <n v="-27780.78"/>
    <n v="38506.39"/>
    <n v="87563.02"/>
  </r>
  <r>
    <n v="454"/>
    <d v="2021-01-18T00:00:00"/>
    <x v="0"/>
    <n v="1"/>
    <s v="January"/>
    <n v="1"/>
    <x v="4"/>
    <x v="3"/>
    <s v="Other Income"/>
    <x v="0"/>
    <n v="104929.87"/>
    <n v="66523.850000000006"/>
    <n v="38406.019999999997"/>
    <n v="4237.3599999999997"/>
    <n v="34168.660000000003"/>
    <n v="32.56"/>
    <n v="986697.57"/>
    <n v="579036.31000000006"/>
    <n v="407661.26"/>
    <n v="53299.31"/>
    <n v="-37417.54"/>
    <n v="-20826.38"/>
    <n v="-4944.6099999999997"/>
  </r>
  <r>
    <n v="489"/>
    <d v="2021-01-20T00:00:00"/>
    <x v="0"/>
    <n v="1"/>
    <s v="January"/>
    <n v="1"/>
    <x v="3"/>
    <x v="2"/>
    <s v="Other Income"/>
    <x v="5"/>
    <n v="58037.03"/>
    <n v="44738.17"/>
    <n v="13298.86"/>
    <n v="3224.88"/>
    <n v="10073.98"/>
    <n v="17.36"/>
    <n v="1565218.88"/>
    <n v="943899.27"/>
    <n v="621319.61"/>
    <n v="-12167.72"/>
    <n v="-64429.32"/>
    <n v="-27077.62"/>
    <n v="-103674.66"/>
  </r>
  <r>
    <n v="60"/>
    <d v="2021-01-21T00:00:00"/>
    <x v="0"/>
    <n v="1"/>
    <s v="January"/>
    <n v="1"/>
    <x v="1"/>
    <x v="0"/>
    <s v="Product Sales"/>
    <x v="2"/>
    <n v="41519.699999999997"/>
    <n v="20834.87"/>
    <n v="20684.830000000002"/>
    <n v="2582.0100000000002"/>
    <n v="18102.82"/>
    <n v="43.6"/>
    <n v="1699242.77"/>
    <n v="922474.43"/>
    <n v="776768.34"/>
    <n v="8161.27"/>
    <n v="-6690.19"/>
    <n v="9427.39"/>
    <n v="10898.47"/>
  </r>
  <r>
    <n v="35"/>
    <d v="2021-01-22T00:00:00"/>
    <x v="0"/>
    <n v="1"/>
    <s v="January"/>
    <n v="1"/>
    <x v="1"/>
    <x v="3"/>
    <s v="Other Income"/>
    <x v="4"/>
    <n v="68396.759999999995"/>
    <n v="50251.95"/>
    <n v="18144.810000000001"/>
    <n v="2028.54"/>
    <n v="16116.27"/>
    <n v="23.56"/>
    <n v="1956556.56"/>
    <n v="822095.32"/>
    <n v="1134461.24"/>
    <n v="26725.1"/>
    <n v="-45759.03"/>
    <n v="-28516.32"/>
    <n v="-47550.25"/>
  </r>
  <r>
    <n v="407"/>
    <d v="2021-01-27T00:00:00"/>
    <x v="0"/>
    <n v="1"/>
    <s v="January"/>
    <n v="1"/>
    <x v="4"/>
    <x v="3"/>
    <s v="Product Sales"/>
    <x v="2"/>
    <n v="121980.7"/>
    <n v="79738.38"/>
    <n v="42242.32"/>
    <n v="6304.76"/>
    <n v="35937.56"/>
    <n v="29.46"/>
    <n v="2846196.6"/>
    <n v="1732280.25"/>
    <n v="1113916.3500000001"/>
    <n v="21641.1"/>
    <n v="-67743.55"/>
    <n v="46166.49"/>
    <n v="64.040000000000006"/>
  </r>
  <r>
    <n v="81"/>
    <d v="2021-02-04T00:00:00"/>
    <x v="0"/>
    <n v="1"/>
    <s v="February"/>
    <n v="2"/>
    <x v="0"/>
    <x v="0"/>
    <s v="Other Income"/>
    <x v="3"/>
    <n v="97147.85"/>
    <n v="75314.5"/>
    <n v="21833.35"/>
    <n v="1765.77"/>
    <n v="20067.580000000002"/>
    <n v="20.66"/>
    <n v="4189761.13"/>
    <n v="1430594.21"/>
    <n v="2759166.92"/>
    <n v="62763.68"/>
    <n v="-69887.990000000005"/>
    <n v="15618.17"/>
    <n v="8493.86"/>
  </r>
  <r>
    <n v="487"/>
    <d v="2021-02-05T00:00:00"/>
    <x v="0"/>
    <n v="1"/>
    <s v="February"/>
    <n v="2"/>
    <x v="2"/>
    <x v="0"/>
    <s v="Product Sales"/>
    <x v="2"/>
    <n v="36521.86"/>
    <n v="17993.740000000002"/>
    <n v="18528.12"/>
    <n v="4221.55"/>
    <n v="14306.57"/>
    <n v="39.17"/>
    <n v="2625018.92"/>
    <n v="1404786.61"/>
    <n v="1220232.31"/>
    <n v="15739.32"/>
    <n v="-44128.91"/>
    <n v="-5280.78"/>
    <n v="-33670.370000000003"/>
  </r>
  <r>
    <n v="400"/>
    <d v="2021-02-07T00:00:00"/>
    <x v="0"/>
    <n v="1"/>
    <s v="February"/>
    <n v="2"/>
    <x v="5"/>
    <x v="2"/>
    <s v="Other Income"/>
    <x v="0"/>
    <n v="138187.72"/>
    <n v="87231.29"/>
    <n v="50956.43"/>
    <n v="9540.16"/>
    <n v="41416.269999999997"/>
    <n v="29.97"/>
    <n v="3828573.04"/>
    <n v="1894800.26"/>
    <n v="1933772.78"/>
    <n v="12750.34"/>
    <n v="-50522.65"/>
    <n v="41046.82"/>
    <n v="3274.51"/>
  </r>
  <r>
    <n v="144"/>
    <d v="2021-02-10T00:00:00"/>
    <x v="0"/>
    <n v="1"/>
    <s v="February"/>
    <n v="2"/>
    <x v="5"/>
    <x v="0"/>
    <s v="Consulting"/>
    <x v="1"/>
    <n v="171058.89"/>
    <n v="126587.31"/>
    <n v="44471.58"/>
    <n v="6240.39"/>
    <n v="38231.19"/>
    <n v="22.35"/>
    <n v="2354589.19"/>
    <n v="1106295.3"/>
    <n v="1248293.8899999999"/>
    <n v="74673.95"/>
    <n v="-63128.72"/>
    <n v="2429.69"/>
    <n v="13974.92"/>
  </r>
  <r>
    <n v="537"/>
    <d v="2021-02-16T00:00:00"/>
    <x v="0"/>
    <n v="1"/>
    <s v="February"/>
    <n v="2"/>
    <x v="5"/>
    <x v="3"/>
    <s v="Other Income"/>
    <x v="2"/>
    <n v="89694.36"/>
    <n v="45151.73"/>
    <n v="44542.63"/>
    <n v="4271.87"/>
    <n v="40270.76"/>
    <n v="44.9"/>
    <n v="575021.98"/>
    <n v="344676.06"/>
    <n v="230345.92"/>
    <n v="29188.75"/>
    <n v="-48849.33"/>
    <n v="33603.54"/>
    <n v="13942.96"/>
  </r>
  <r>
    <n v="504"/>
    <d v="2021-02-20T00:00:00"/>
    <x v="0"/>
    <n v="1"/>
    <s v="February"/>
    <n v="2"/>
    <x v="4"/>
    <x v="3"/>
    <s v="Product Sales"/>
    <x v="3"/>
    <n v="73086.47"/>
    <n v="37804.160000000003"/>
    <n v="35282.31"/>
    <n v="5846.37"/>
    <n v="29435.94"/>
    <n v="40.28"/>
    <n v="1952644.07"/>
    <n v="689757.96"/>
    <n v="1262886.1100000001"/>
    <n v="36554.769999999997"/>
    <n v="-56671.57"/>
    <n v="52774.57"/>
    <n v="32657.77"/>
  </r>
  <r>
    <n v="354"/>
    <d v="2021-02-23T00:00:00"/>
    <x v="0"/>
    <n v="1"/>
    <s v="February"/>
    <n v="2"/>
    <x v="3"/>
    <x v="1"/>
    <s v="Other Income"/>
    <x v="6"/>
    <n v="116194.59"/>
    <n v="69384.81"/>
    <n v="46809.78"/>
    <n v="11493.96"/>
    <n v="35315.82"/>
    <n v="30.39"/>
    <n v="2948893.98"/>
    <n v="1061883.96"/>
    <n v="1887010.02"/>
    <n v="62070.93"/>
    <n v="-42850.8"/>
    <n v="50424.33"/>
    <n v="69644.460000000006"/>
  </r>
  <r>
    <n v="125"/>
    <d v="2021-03-06T00:00:00"/>
    <x v="0"/>
    <n v="1"/>
    <s v="March"/>
    <n v="3"/>
    <x v="3"/>
    <x v="2"/>
    <s v="Other Income"/>
    <x v="4"/>
    <n v="107608.46"/>
    <n v="61337.2"/>
    <n v="46271.26"/>
    <n v="6321.13"/>
    <n v="39950.129999999997"/>
    <n v="37.130000000000003"/>
    <n v="3512691.3"/>
    <n v="2275014.7000000002"/>
    <n v="1237676.6000000001"/>
    <n v="62897.27"/>
    <n v="-14221.66"/>
    <n v="33065.050000000003"/>
    <n v="81740.66"/>
  </r>
  <r>
    <n v="15"/>
    <d v="2021-03-29T00:00:00"/>
    <x v="0"/>
    <n v="1"/>
    <s v="March"/>
    <n v="3"/>
    <x v="3"/>
    <x v="2"/>
    <s v="Other Income"/>
    <x v="6"/>
    <n v="58605.41"/>
    <n v="32758.240000000002"/>
    <n v="25847.17"/>
    <n v="6443.48"/>
    <n v="19403.689999999999"/>
    <n v="33.11"/>
    <n v="3636162.75"/>
    <n v="1467848.84"/>
    <n v="2168313.91"/>
    <n v="48371.75"/>
    <n v="21525.43"/>
    <n v="55870.239999999998"/>
    <n v="125767.42"/>
  </r>
  <r>
    <n v="74"/>
    <d v="2021-04-02T00:00:00"/>
    <x v="0"/>
    <n v="2"/>
    <s v="April"/>
    <n v="4"/>
    <x v="1"/>
    <x v="0"/>
    <s v="Service Revenue"/>
    <x v="1"/>
    <n v="50890.26"/>
    <n v="41563.72"/>
    <n v="9326.5400000000009"/>
    <n v="1113.44"/>
    <n v="8213.1"/>
    <n v="16.14"/>
    <n v="4742292.9800000004"/>
    <n v="2417899.14"/>
    <n v="2324393.84"/>
    <n v="26832.04"/>
    <n v="-18731.150000000001"/>
    <n v="-16933.02"/>
    <n v="-8832.1299999999992"/>
  </r>
  <r>
    <n v="596"/>
    <d v="2021-04-04T00:00:00"/>
    <x v="0"/>
    <n v="2"/>
    <s v="April"/>
    <n v="4"/>
    <x v="1"/>
    <x v="1"/>
    <s v="Service Revenue"/>
    <x v="1"/>
    <n v="126806.36"/>
    <n v="66362.37"/>
    <n v="60443.99"/>
    <n v="6315.22"/>
    <n v="54128.77"/>
    <n v="42.69"/>
    <n v="4997605.5199999996"/>
    <n v="2493557.14"/>
    <n v="2504048.38"/>
    <n v="58607.8"/>
    <n v="-41183.550000000003"/>
    <n v="20392.04"/>
    <n v="37816.29"/>
  </r>
  <r>
    <n v="187"/>
    <d v="2021-04-06T00:00:00"/>
    <x v="0"/>
    <n v="2"/>
    <s v="April"/>
    <n v="4"/>
    <x v="3"/>
    <x v="1"/>
    <s v="Consulting"/>
    <x v="1"/>
    <n v="30060.080000000002"/>
    <n v="23187.27"/>
    <n v="6872.81"/>
    <n v="625.4"/>
    <n v="6247.41"/>
    <n v="20.78"/>
    <n v="4801210.18"/>
    <n v="1248587.28"/>
    <n v="3552622.9"/>
    <n v="31803.45"/>
    <n v="-61779.29"/>
    <n v="51067.66"/>
    <n v="21091.82"/>
  </r>
  <r>
    <n v="157"/>
    <d v="2021-04-09T00:00:00"/>
    <x v="0"/>
    <n v="2"/>
    <s v="April"/>
    <n v="4"/>
    <x v="2"/>
    <x v="3"/>
    <s v="Consulting"/>
    <x v="6"/>
    <n v="140618.41"/>
    <n v="114368.97"/>
    <n v="26249.439999999999"/>
    <n v="3036.36"/>
    <n v="23213.08"/>
    <n v="16.510000000000002"/>
    <n v="4213088"/>
    <n v="1930094.11"/>
    <n v="2282993.89"/>
    <n v="23090.09"/>
    <n v="-57762.32"/>
    <n v="33550.559999999998"/>
    <n v="-1121.67"/>
  </r>
  <r>
    <n v="368"/>
    <d v="2021-04-09T00:00:00"/>
    <x v="0"/>
    <n v="2"/>
    <s v="April"/>
    <n v="4"/>
    <x v="3"/>
    <x v="2"/>
    <s v="Product Sales"/>
    <x v="6"/>
    <n v="112407.53"/>
    <n v="71390.37"/>
    <n v="41017.160000000003"/>
    <n v="3765.25"/>
    <n v="37251.910000000003"/>
    <n v="33.14"/>
    <n v="904445.83"/>
    <n v="443508.4"/>
    <n v="460937.43"/>
    <n v="34528.6"/>
    <n v="21726.81"/>
    <n v="659.05"/>
    <n v="56914.46"/>
  </r>
  <r>
    <n v="433"/>
    <d v="2021-04-09T00:00:00"/>
    <x v="0"/>
    <n v="2"/>
    <s v="April"/>
    <n v="4"/>
    <x v="4"/>
    <x v="0"/>
    <s v="Service Revenue"/>
    <x v="2"/>
    <n v="53662.65"/>
    <n v="32649.29"/>
    <n v="21013.360000000001"/>
    <n v="1900.5"/>
    <n v="19112.86"/>
    <n v="35.619999999999997"/>
    <n v="1507660.65"/>
    <n v="595992"/>
    <n v="911668.65"/>
    <n v="24204.66"/>
    <n v="27749.63"/>
    <n v="40786.559999999998"/>
    <n v="92740.85"/>
  </r>
  <r>
    <n v="362"/>
    <d v="2021-04-14T00:00:00"/>
    <x v="0"/>
    <n v="2"/>
    <s v="April"/>
    <n v="4"/>
    <x v="2"/>
    <x v="0"/>
    <s v="Consulting"/>
    <x v="6"/>
    <n v="28647.54"/>
    <n v="17445.22"/>
    <n v="11202.32"/>
    <n v="1427.39"/>
    <n v="9774.93"/>
    <n v="34.119999999999997"/>
    <n v="1081285"/>
    <n v="313376.51"/>
    <n v="767908.49"/>
    <n v="28030.3"/>
    <n v="-17639.95"/>
    <n v="-14641.59"/>
    <n v="-4251.24"/>
  </r>
  <r>
    <n v="262"/>
    <d v="2021-04-23T00:00:00"/>
    <x v="0"/>
    <n v="2"/>
    <s v="April"/>
    <n v="4"/>
    <x v="3"/>
    <x v="1"/>
    <s v="Consulting"/>
    <x v="6"/>
    <n v="161087.6"/>
    <n v="108578.96"/>
    <n v="52508.639999999999"/>
    <n v="6406.7"/>
    <n v="46101.94"/>
    <n v="28.62"/>
    <n v="2101346.42"/>
    <n v="595874.21"/>
    <n v="1505472.21"/>
    <n v="42778.95"/>
    <n v="-2245.91"/>
    <n v="-32788.89"/>
    <n v="7744.15"/>
  </r>
  <r>
    <n v="557"/>
    <d v="2021-04-27T00:00:00"/>
    <x v="0"/>
    <n v="2"/>
    <s v="April"/>
    <n v="4"/>
    <x v="2"/>
    <x v="3"/>
    <s v="Service Revenue"/>
    <x v="5"/>
    <n v="49933.35"/>
    <n v="35409.17"/>
    <n v="14524.18"/>
    <n v="3035.66"/>
    <n v="11488.52"/>
    <n v="23.01"/>
    <n v="976084.34"/>
    <n v="441635.16"/>
    <n v="534449.18000000005"/>
    <n v="46658.52"/>
    <n v="23616.3"/>
    <n v="11351.79"/>
    <n v="81626.61"/>
  </r>
  <r>
    <n v="549"/>
    <d v="2021-04-30T00:00:00"/>
    <x v="0"/>
    <n v="2"/>
    <s v="April"/>
    <n v="4"/>
    <x v="5"/>
    <x v="3"/>
    <s v="Other Income"/>
    <x v="4"/>
    <n v="88001.72"/>
    <n v="64732.25"/>
    <n v="23269.47"/>
    <n v="3775.68"/>
    <n v="19493.79"/>
    <n v="22.15"/>
    <n v="4538895.47"/>
    <n v="2782817.23"/>
    <n v="1756078.24"/>
    <n v="-3512.87"/>
    <n v="23649.33"/>
    <n v="42553.48"/>
    <n v="62689.94"/>
  </r>
  <r>
    <n v="10"/>
    <d v="2021-05-02T00:00:00"/>
    <x v="0"/>
    <n v="2"/>
    <s v="May"/>
    <n v="5"/>
    <x v="1"/>
    <x v="3"/>
    <s v="Product Sales"/>
    <x v="5"/>
    <n v="47163.71"/>
    <n v="34512.47"/>
    <n v="12651.24"/>
    <n v="2341.71"/>
    <n v="10309.530000000001"/>
    <n v="21.86"/>
    <n v="955052.04"/>
    <n v="270893.56"/>
    <n v="684158.48"/>
    <n v="36387.06"/>
    <n v="-62723.7"/>
    <n v="42186.01"/>
    <n v="15849.37"/>
  </r>
  <r>
    <n v="285"/>
    <d v="2021-05-03T00:00:00"/>
    <x v="0"/>
    <n v="2"/>
    <s v="May"/>
    <n v="5"/>
    <x v="2"/>
    <x v="1"/>
    <s v="Consulting"/>
    <x v="2"/>
    <n v="42886.17"/>
    <n v="28908.97"/>
    <n v="13977.2"/>
    <n v="1396.67"/>
    <n v="12580.53"/>
    <n v="29.33"/>
    <n v="2017429.59"/>
    <n v="619626.84"/>
    <n v="1397802.75"/>
    <n v="37946.42"/>
    <n v="-49374.79"/>
    <n v="-814.06"/>
    <n v="-12242.43"/>
  </r>
  <r>
    <n v="453"/>
    <d v="2021-05-08T00:00:00"/>
    <x v="0"/>
    <n v="2"/>
    <s v="May"/>
    <n v="5"/>
    <x v="4"/>
    <x v="3"/>
    <s v="Other Income"/>
    <x v="5"/>
    <n v="46447.07"/>
    <n v="33586.910000000003"/>
    <n v="12860.16"/>
    <n v="2902.33"/>
    <n v="9957.83"/>
    <n v="21.44"/>
    <n v="4724215.8600000003"/>
    <n v="2111464.29"/>
    <n v="2612751.5699999998"/>
    <n v="36027.089999999997"/>
    <n v="15555.11"/>
    <n v="1829.11"/>
    <n v="53411.31"/>
  </r>
  <r>
    <n v="20"/>
    <d v="2021-05-11T00:00:00"/>
    <x v="0"/>
    <n v="2"/>
    <s v="May"/>
    <n v="5"/>
    <x v="2"/>
    <x v="1"/>
    <s v="Product Sales"/>
    <x v="5"/>
    <n v="141236.17000000001"/>
    <n v="111275.93"/>
    <n v="29960.240000000002"/>
    <n v="5377.13"/>
    <n v="24583.11"/>
    <n v="17.41"/>
    <n v="3767543.8"/>
    <n v="2082820.59"/>
    <n v="1684723.21"/>
    <n v="24811.15"/>
    <n v="-45891.519999999997"/>
    <n v="-19495.47"/>
    <n v="-40575.839999999997"/>
  </r>
  <r>
    <n v="146"/>
    <d v="2021-05-15T00:00:00"/>
    <x v="0"/>
    <n v="2"/>
    <s v="May"/>
    <n v="5"/>
    <x v="2"/>
    <x v="2"/>
    <s v="Service Revenue"/>
    <x v="3"/>
    <n v="70387.42"/>
    <n v="57196.04"/>
    <n v="13191.38"/>
    <n v="2405.0500000000002"/>
    <n v="10786.33"/>
    <n v="15.32"/>
    <n v="3120901.96"/>
    <n v="1714090.71"/>
    <n v="1406811.25"/>
    <n v="45727.91"/>
    <n v="-4352.1400000000003"/>
    <n v="-27190.43"/>
    <n v="14185.34"/>
  </r>
  <r>
    <n v="330"/>
    <d v="2021-05-24T00:00:00"/>
    <x v="0"/>
    <n v="2"/>
    <s v="May"/>
    <n v="5"/>
    <x v="5"/>
    <x v="1"/>
    <s v="Other Income"/>
    <x v="3"/>
    <n v="78224.94"/>
    <n v="59356.42"/>
    <n v="18868.52"/>
    <n v="4510.1899999999996"/>
    <n v="14358.33"/>
    <n v="18.36"/>
    <n v="1335798.82"/>
    <n v="532988.5"/>
    <n v="802810.32"/>
    <n v="58648.77"/>
    <n v="-63819.15"/>
    <n v="-30763.95"/>
    <n v="-35934.33"/>
  </r>
  <r>
    <n v="296"/>
    <d v="2021-05-24T00:00:00"/>
    <x v="0"/>
    <n v="2"/>
    <s v="May"/>
    <n v="5"/>
    <x v="1"/>
    <x v="1"/>
    <s v="Product Sales"/>
    <x v="3"/>
    <n v="140976.09"/>
    <n v="75177.679999999993"/>
    <n v="65798.41"/>
    <n v="11178.04"/>
    <n v="54620.37"/>
    <n v="38.74"/>
    <n v="4216629.68"/>
    <n v="1835270.72"/>
    <n v="2381358.96"/>
    <n v="46896.97"/>
    <n v="-4529.09"/>
    <n v="42376.74"/>
    <n v="84744.62"/>
  </r>
  <r>
    <n v="311"/>
    <d v="2021-05-27T00:00:00"/>
    <x v="0"/>
    <n v="2"/>
    <s v="May"/>
    <n v="5"/>
    <x v="5"/>
    <x v="2"/>
    <s v="Consulting"/>
    <x v="0"/>
    <n v="97711.62"/>
    <n v="53679.64"/>
    <n v="44031.98"/>
    <n v="4278.42"/>
    <n v="39753.56"/>
    <n v="40.68"/>
    <n v="1253709.8999999999"/>
    <n v="387283.81"/>
    <n v="866426.09"/>
    <n v="87599.7"/>
    <n v="5929.25"/>
    <n v="56776.15"/>
    <n v="150305.1"/>
  </r>
  <r>
    <n v="510"/>
    <d v="2021-05-30T00:00:00"/>
    <x v="0"/>
    <n v="2"/>
    <s v="May"/>
    <n v="5"/>
    <x v="4"/>
    <x v="0"/>
    <s v="Consulting"/>
    <x v="0"/>
    <n v="179720.99"/>
    <n v="85859.05"/>
    <n v="93861.94"/>
    <n v="11067.42"/>
    <n v="82794.52"/>
    <n v="46.07"/>
    <n v="2335531.7200000002"/>
    <n v="908785.66"/>
    <n v="1426746.06"/>
    <n v="54526.16"/>
    <n v="-60822.239999999998"/>
    <n v="28095.33"/>
    <n v="21799.25"/>
  </r>
  <r>
    <n v="324"/>
    <d v="2021-05-31T00:00:00"/>
    <x v="0"/>
    <n v="2"/>
    <s v="May"/>
    <n v="5"/>
    <x v="2"/>
    <x v="2"/>
    <s v="Product Sales"/>
    <x v="4"/>
    <n v="125223.07"/>
    <n v="66855.88"/>
    <n v="58367.19"/>
    <n v="11317.72"/>
    <n v="47049.47"/>
    <n v="37.57"/>
    <n v="2607485.84"/>
    <n v="1458682.59"/>
    <n v="1148803.25"/>
    <n v="26921.54"/>
    <n v="-7367.76"/>
    <n v="-12152.93"/>
    <n v="7400.85"/>
  </r>
  <r>
    <n v="353"/>
    <d v="2021-06-01T00:00:00"/>
    <x v="0"/>
    <n v="2"/>
    <s v="June"/>
    <n v="6"/>
    <x v="4"/>
    <x v="1"/>
    <s v="Consulting"/>
    <x v="2"/>
    <n v="168672.03"/>
    <n v="89239.03"/>
    <n v="79433"/>
    <n v="12026.21"/>
    <n v="67406.789999999994"/>
    <n v="39.96"/>
    <n v="543590.97"/>
    <n v="322448.40000000002"/>
    <n v="221142.57"/>
    <n v="95899.38"/>
    <n v="24675.599999999999"/>
    <n v="38161.550000000003"/>
    <n v="158736.53"/>
  </r>
  <r>
    <n v="369"/>
    <d v="2021-06-02T00:00:00"/>
    <x v="0"/>
    <n v="2"/>
    <s v="June"/>
    <n v="6"/>
    <x v="0"/>
    <x v="1"/>
    <s v="Other Income"/>
    <x v="0"/>
    <n v="137660.01999999999"/>
    <n v="101918.63"/>
    <n v="35741.39"/>
    <n v="8901.41"/>
    <n v="26839.98"/>
    <n v="19.5"/>
    <n v="3224665.63"/>
    <n v="1203298.6599999999"/>
    <n v="2021366.97"/>
    <n v="63842.45"/>
    <n v="-8551.42"/>
    <n v="18119.54"/>
    <n v="73410.570000000007"/>
  </r>
  <r>
    <n v="585"/>
    <d v="2021-06-03T00:00:00"/>
    <x v="0"/>
    <n v="2"/>
    <s v="June"/>
    <n v="6"/>
    <x v="3"/>
    <x v="2"/>
    <s v="Product Sales"/>
    <x v="4"/>
    <n v="61810.34"/>
    <n v="50202.37"/>
    <n v="11607.97"/>
    <n v="1691.08"/>
    <n v="9916.89"/>
    <n v="16.04"/>
    <n v="1702664.08"/>
    <n v="712742.8"/>
    <n v="989921.28000000003"/>
    <n v="-12531.31"/>
    <n v="-57429.41"/>
    <n v="1443.4"/>
    <n v="-68517.320000000007"/>
  </r>
  <r>
    <n v="468"/>
    <d v="2021-06-04T00:00:00"/>
    <x v="0"/>
    <n v="2"/>
    <s v="June"/>
    <n v="6"/>
    <x v="0"/>
    <x v="0"/>
    <s v="Consulting"/>
    <x v="2"/>
    <n v="26635.42"/>
    <n v="15869.74"/>
    <n v="10765.68"/>
    <n v="2418.64"/>
    <n v="8347.0400000000009"/>
    <n v="31.34"/>
    <n v="2056364.86"/>
    <n v="543057.31000000006"/>
    <n v="1513307.55"/>
    <n v="38041.410000000003"/>
    <n v="10203.83"/>
    <n v="-23940.63"/>
    <n v="24304.61"/>
  </r>
  <r>
    <n v="428"/>
    <d v="2021-06-07T00:00:00"/>
    <x v="0"/>
    <n v="2"/>
    <s v="June"/>
    <n v="6"/>
    <x v="4"/>
    <x v="1"/>
    <s v="Consulting"/>
    <x v="1"/>
    <n v="141691.54"/>
    <n v="102181.97"/>
    <n v="39509.57"/>
    <n v="9045.82"/>
    <n v="30463.75"/>
    <n v="21.5"/>
    <n v="3752530.7"/>
    <n v="1286129.3"/>
    <n v="2466401.4"/>
    <n v="56908.77"/>
    <n v="-39229.72"/>
    <n v="-15782.53"/>
    <n v="1896.52"/>
  </r>
  <r>
    <n v="379"/>
    <d v="2021-06-10T00:00:00"/>
    <x v="0"/>
    <n v="2"/>
    <s v="June"/>
    <n v="6"/>
    <x v="3"/>
    <x v="0"/>
    <s v="Other Income"/>
    <x v="1"/>
    <n v="81547.48"/>
    <n v="56035.94"/>
    <n v="25511.54"/>
    <n v="4062.73"/>
    <n v="21448.81"/>
    <n v="26.3"/>
    <n v="1354712.61"/>
    <n v="718939.63"/>
    <n v="635772.98"/>
    <n v="35965.980000000003"/>
    <n v="-34137.839999999997"/>
    <n v="51133.919999999998"/>
    <n v="52962.06"/>
  </r>
  <r>
    <n v="97"/>
    <d v="2021-06-11T00:00:00"/>
    <x v="0"/>
    <n v="2"/>
    <s v="June"/>
    <n v="6"/>
    <x v="3"/>
    <x v="3"/>
    <s v="Consulting"/>
    <x v="4"/>
    <n v="120440.01"/>
    <n v="68859.94"/>
    <n v="51580.07"/>
    <n v="8249.25"/>
    <n v="43330.82"/>
    <n v="35.979999999999997"/>
    <n v="3849255.8"/>
    <n v="2304676.9"/>
    <n v="1544578.9"/>
    <n v="48023.25"/>
    <n v="-65633.83"/>
    <n v="-23832.75"/>
    <n v="-41443.33"/>
  </r>
  <r>
    <n v="62"/>
    <d v="2021-06-16T00:00:00"/>
    <x v="0"/>
    <n v="2"/>
    <s v="June"/>
    <n v="6"/>
    <x v="2"/>
    <x v="3"/>
    <s v="Other Income"/>
    <x v="3"/>
    <n v="80129.27"/>
    <n v="57376.32"/>
    <n v="22752.95"/>
    <n v="2969.5"/>
    <n v="19783.45"/>
    <n v="24.69"/>
    <n v="3048820.88"/>
    <n v="1342762.18"/>
    <n v="1706058.7"/>
    <n v="42877.14"/>
    <n v="23682.97"/>
    <n v="33257.21"/>
    <n v="99817.32"/>
  </r>
  <r>
    <n v="440"/>
    <d v="2021-06-30T00:00:00"/>
    <x v="0"/>
    <n v="2"/>
    <s v="June"/>
    <n v="6"/>
    <x v="4"/>
    <x v="3"/>
    <s v="Other Income"/>
    <x v="3"/>
    <n v="84150.56"/>
    <n v="62005.23"/>
    <n v="22145.33"/>
    <n v="3061.38"/>
    <n v="19083.95"/>
    <n v="22.68"/>
    <n v="3324509.95"/>
    <n v="1086471.24"/>
    <n v="2238038.71"/>
    <n v="765.63"/>
    <n v="23806.41"/>
    <n v="51764.73"/>
    <n v="76336.77"/>
  </r>
  <r>
    <n v="300"/>
    <d v="2021-07-06T00:00:00"/>
    <x v="0"/>
    <n v="3"/>
    <s v="July"/>
    <n v="7"/>
    <x v="3"/>
    <x v="1"/>
    <s v="Service Revenue"/>
    <x v="3"/>
    <n v="25886.38"/>
    <n v="16110.53"/>
    <n v="9775.85"/>
    <n v="1731.28"/>
    <n v="8044.57"/>
    <n v="31.08"/>
    <n v="1868136.23"/>
    <n v="704739.03"/>
    <n v="1163397.2"/>
    <n v="54937.32"/>
    <n v="19171.09"/>
    <n v="44917.9"/>
    <n v="119026.31"/>
  </r>
  <r>
    <n v="119"/>
    <d v="2021-07-07T00:00:00"/>
    <x v="0"/>
    <n v="3"/>
    <s v="July"/>
    <n v="7"/>
    <x v="2"/>
    <x v="0"/>
    <s v="Service Revenue"/>
    <x v="1"/>
    <n v="42407.17"/>
    <n v="19123.77"/>
    <n v="23283.4"/>
    <n v="4387.93"/>
    <n v="18895.47"/>
    <n v="44.56"/>
    <n v="2818288.27"/>
    <n v="1373677.18"/>
    <n v="1444611.09"/>
    <n v="52394.98"/>
    <n v="-5339.41"/>
    <n v="-22522.66"/>
    <n v="24532.91"/>
  </r>
  <r>
    <n v="221"/>
    <d v="2021-07-09T00:00:00"/>
    <x v="0"/>
    <n v="3"/>
    <s v="July"/>
    <n v="7"/>
    <x v="1"/>
    <x v="2"/>
    <s v="Product Sales"/>
    <x v="4"/>
    <n v="141040.01"/>
    <n v="80041.210000000006"/>
    <n v="60998.8"/>
    <n v="4881.3"/>
    <n v="56117.5"/>
    <n v="39.79"/>
    <n v="2800081.13"/>
    <n v="752495.94"/>
    <n v="2047585.19"/>
    <n v="48211.06"/>
    <n v="697.65"/>
    <n v="-33731.040000000001"/>
    <n v="15177.67"/>
  </r>
  <r>
    <n v="48"/>
    <d v="2021-07-09T00:00:00"/>
    <x v="0"/>
    <n v="3"/>
    <s v="July"/>
    <n v="7"/>
    <x v="2"/>
    <x v="2"/>
    <s v="Consulting"/>
    <x v="0"/>
    <n v="25717.96"/>
    <n v="14746.54"/>
    <n v="10971.42"/>
    <n v="1620.35"/>
    <n v="9351.07"/>
    <n v="36.36"/>
    <n v="2918280.21"/>
    <n v="1803328.63"/>
    <n v="1114951.58"/>
    <n v="7058.75"/>
    <n v="-35304.68"/>
    <n v="33750.120000000003"/>
    <n v="5504.19"/>
  </r>
  <r>
    <n v="446"/>
    <d v="2021-07-10T00:00:00"/>
    <x v="0"/>
    <n v="3"/>
    <s v="July"/>
    <n v="7"/>
    <x v="1"/>
    <x v="1"/>
    <s v="Other Income"/>
    <x v="3"/>
    <n v="107856.68"/>
    <n v="56335.64"/>
    <n v="51521.04"/>
    <n v="5577.62"/>
    <n v="45943.42"/>
    <n v="42.6"/>
    <n v="4624201.18"/>
    <n v="1762446.21"/>
    <n v="2861754.97"/>
    <n v="45710"/>
    <n v="5982.37"/>
    <n v="-6117.65"/>
    <n v="45574.720000000001"/>
  </r>
  <r>
    <n v="292"/>
    <d v="2021-07-17T00:00:00"/>
    <x v="0"/>
    <n v="3"/>
    <s v="July"/>
    <n v="7"/>
    <x v="5"/>
    <x v="0"/>
    <s v="Consulting"/>
    <x v="6"/>
    <n v="105766.34"/>
    <n v="61299.54"/>
    <n v="44466.8"/>
    <n v="8678.61"/>
    <n v="35788.19"/>
    <n v="33.840000000000003"/>
    <n v="3913258.46"/>
    <n v="1001212.28"/>
    <n v="2912046.18"/>
    <n v="22367.57"/>
    <n v="1323.59"/>
    <n v="-1337.98"/>
    <n v="22353.18"/>
  </r>
  <r>
    <n v="147"/>
    <d v="2021-07-20T00:00:00"/>
    <x v="0"/>
    <n v="3"/>
    <s v="July"/>
    <n v="7"/>
    <x v="4"/>
    <x v="3"/>
    <s v="Product Sales"/>
    <x v="5"/>
    <n v="39726.81"/>
    <n v="23403.75"/>
    <n v="16323.06"/>
    <n v="2832.31"/>
    <n v="13490.75"/>
    <n v="33.96"/>
    <n v="2248937.59"/>
    <n v="709480.26"/>
    <n v="1539457.33"/>
    <n v="5394.05"/>
    <n v="22831.75"/>
    <n v="27598.23"/>
    <n v="55824.03"/>
  </r>
  <r>
    <n v="98"/>
    <d v="2021-07-21T00:00:00"/>
    <x v="0"/>
    <n v="3"/>
    <s v="July"/>
    <n v="7"/>
    <x v="5"/>
    <x v="0"/>
    <s v="Service Revenue"/>
    <x v="5"/>
    <n v="76508.77"/>
    <n v="49785.56"/>
    <n v="26723.21"/>
    <n v="4378.79"/>
    <n v="22344.42"/>
    <n v="29.21"/>
    <n v="866869.2"/>
    <n v="356547.24"/>
    <n v="510321.96"/>
    <n v="9989.31"/>
    <n v="-28160.02"/>
    <n v="-19642.169999999998"/>
    <n v="-37812.879999999997"/>
  </r>
  <r>
    <n v="283"/>
    <d v="2021-07-22T00:00:00"/>
    <x v="0"/>
    <n v="3"/>
    <s v="July"/>
    <n v="7"/>
    <x v="4"/>
    <x v="0"/>
    <s v="Product Sales"/>
    <x v="3"/>
    <n v="105479.81"/>
    <n v="71185"/>
    <n v="34294.81"/>
    <n v="4174.0200000000004"/>
    <n v="30120.79"/>
    <n v="28.56"/>
    <n v="759794.72"/>
    <n v="308790.56"/>
    <n v="451004.15999999997"/>
    <n v="18857.060000000001"/>
    <n v="-48044.61"/>
    <n v="55986.28"/>
    <n v="26798.73"/>
  </r>
  <r>
    <n v="82"/>
    <d v="2021-07-25T00:00:00"/>
    <x v="0"/>
    <n v="3"/>
    <s v="July"/>
    <n v="7"/>
    <x v="3"/>
    <x v="1"/>
    <s v="Service Revenue"/>
    <x v="3"/>
    <n v="54935.59"/>
    <n v="26430.41"/>
    <n v="28505.18"/>
    <n v="3862.27"/>
    <n v="24642.91"/>
    <n v="44.86"/>
    <n v="3019299.41"/>
    <n v="894731.77"/>
    <n v="2124567.64"/>
    <n v="24778.54"/>
    <n v="-69092.759999999995"/>
    <n v="41867.94"/>
    <n v="-2446.2800000000002"/>
  </r>
  <r>
    <n v="175"/>
    <d v="2021-07-26T00:00:00"/>
    <x v="0"/>
    <n v="3"/>
    <s v="July"/>
    <n v="7"/>
    <x v="1"/>
    <x v="3"/>
    <s v="Service Revenue"/>
    <x v="4"/>
    <n v="50723.01"/>
    <n v="39376.949999999997"/>
    <n v="11346.06"/>
    <n v="1732.24"/>
    <n v="9613.82"/>
    <n v="18.95"/>
    <n v="1230050.33"/>
    <n v="313715.74"/>
    <n v="916334.59"/>
    <n v="24394.27"/>
    <n v="-17260.04"/>
    <n v="31935.360000000001"/>
    <n v="39069.589999999997"/>
  </r>
  <r>
    <n v="350"/>
    <d v="2021-07-27T00:00:00"/>
    <x v="0"/>
    <n v="3"/>
    <s v="July"/>
    <n v="7"/>
    <x v="5"/>
    <x v="2"/>
    <s v="Consulting"/>
    <x v="4"/>
    <n v="118546.97"/>
    <n v="82273.64"/>
    <n v="36273.33"/>
    <n v="7144.68"/>
    <n v="29128.65"/>
    <n v="24.57"/>
    <n v="1041744.1"/>
    <n v="651519.17000000004"/>
    <n v="390224.93"/>
    <n v="13623.31"/>
    <n v="-7724.66"/>
    <n v="-17732.39"/>
    <n v="-11833.74"/>
  </r>
  <r>
    <n v="117"/>
    <d v="2021-08-05T00:00:00"/>
    <x v="0"/>
    <n v="3"/>
    <s v="August"/>
    <n v="8"/>
    <x v="5"/>
    <x v="3"/>
    <s v="Consulting"/>
    <x v="5"/>
    <n v="107500.33"/>
    <n v="71481.789999999994"/>
    <n v="36018.54"/>
    <n v="3430.28"/>
    <n v="32588.26"/>
    <n v="30.31"/>
    <n v="3729361.04"/>
    <n v="1528896.62"/>
    <n v="2200464.42"/>
    <n v="80726.28"/>
    <n v="12317.4"/>
    <n v="12248.1"/>
    <n v="105291.78"/>
  </r>
  <r>
    <n v="265"/>
    <d v="2021-08-08T00:00:00"/>
    <x v="0"/>
    <n v="3"/>
    <s v="August"/>
    <n v="8"/>
    <x v="3"/>
    <x v="3"/>
    <s v="Consulting"/>
    <x v="3"/>
    <n v="78711.25"/>
    <n v="46999.79"/>
    <n v="31711.46"/>
    <n v="3961.62"/>
    <n v="27749.84"/>
    <n v="35.26"/>
    <n v="1423998.22"/>
    <n v="631138.62"/>
    <n v="792859.6"/>
    <n v="19232.54"/>
    <n v="-41253.83"/>
    <n v="25675.61"/>
    <n v="3654.32"/>
  </r>
  <r>
    <n v="408"/>
    <d v="2021-08-14T00:00:00"/>
    <x v="0"/>
    <n v="3"/>
    <s v="August"/>
    <n v="8"/>
    <x v="1"/>
    <x v="3"/>
    <s v="Product Sales"/>
    <x v="5"/>
    <n v="122180.11"/>
    <n v="91525.87"/>
    <n v="30654.240000000002"/>
    <n v="5639.76"/>
    <n v="25014.48"/>
    <n v="20.47"/>
    <n v="1830864.03"/>
    <n v="645008.79"/>
    <n v="1185855.24"/>
    <n v="21208.16"/>
    <n v="-53537.95"/>
    <n v="-21882.81"/>
    <n v="-54212.6"/>
  </r>
  <r>
    <n v="401"/>
    <d v="2021-08-18T00:00:00"/>
    <x v="0"/>
    <n v="3"/>
    <s v="August"/>
    <n v="8"/>
    <x v="3"/>
    <x v="0"/>
    <s v="Service Revenue"/>
    <x v="3"/>
    <n v="82678.63"/>
    <n v="53170.400000000001"/>
    <n v="29508.23"/>
    <n v="2701.64"/>
    <n v="26806.59"/>
    <n v="32.42"/>
    <n v="1315515.02"/>
    <n v="832561.55"/>
    <n v="482953.47"/>
    <n v="68017.63"/>
    <n v="-4772.49"/>
    <n v="5964.46"/>
    <n v="69209.600000000006"/>
  </r>
  <r>
    <n v="191"/>
    <d v="2021-08-19T00:00:00"/>
    <x v="0"/>
    <n v="3"/>
    <s v="August"/>
    <n v="8"/>
    <x v="0"/>
    <x v="0"/>
    <s v="Product Sales"/>
    <x v="4"/>
    <n v="98514.71"/>
    <n v="65869"/>
    <n v="32645.71"/>
    <n v="5591.93"/>
    <n v="27053.78"/>
    <n v="27.46"/>
    <n v="4343611.99"/>
    <n v="1171901.05"/>
    <n v="3171710.94"/>
    <n v="63719.15"/>
    <n v="14392.46"/>
    <n v="-11509.2"/>
    <n v="66602.41"/>
  </r>
  <r>
    <n v="142"/>
    <d v="2021-08-19T00:00:00"/>
    <x v="0"/>
    <n v="3"/>
    <s v="August"/>
    <n v="8"/>
    <x v="0"/>
    <x v="2"/>
    <s v="Product Sales"/>
    <x v="1"/>
    <n v="84884.08"/>
    <n v="52334.94"/>
    <n v="32549.14"/>
    <n v="3859.81"/>
    <n v="28689.33"/>
    <n v="33.799999999999997"/>
    <n v="4502259.12"/>
    <n v="1937087.36"/>
    <n v="2565171.7599999998"/>
    <n v="69286.09"/>
    <n v="-59430.65"/>
    <n v="58827.53"/>
    <n v="68682.97"/>
  </r>
  <r>
    <n v="68"/>
    <d v="2021-08-30T00:00:00"/>
    <x v="0"/>
    <n v="3"/>
    <s v="August"/>
    <n v="8"/>
    <x v="4"/>
    <x v="0"/>
    <s v="Consulting"/>
    <x v="2"/>
    <n v="33506.81"/>
    <n v="20720.72"/>
    <n v="12786.09"/>
    <n v="2158.4699999999998"/>
    <n v="10627.62"/>
    <n v="31.72"/>
    <n v="3400459.93"/>
    <n v="1734462.19"/>
    <n v="1665997.74"/>
    <n v="9803.4"/>
    <n v="-13932.28"/>
    <n v="8106.19"/>
    <n v="3977.31"/>
  </r>
  <r>
    <n v="474"/>
    <d v="2021-09-03T00:00:00"/>
    <x v="0"/>
    <n v="3"/>
    <s v="September"/>
    <n v="9"/>
    <x v="4"/>
    <x v="0"/>
    <s v="Product Sales"/>
    <x v="5"/>
    <n v="68828.649999999994"/>
    <n v="38727.230000000003"/>
    <n v="30101.42"/>
    <n v="7438.09"/>
    <n v="22663.33"/>
    <n v="32.93"/>
    <n v="3392498.36"/>
    <n v="1822010.67"/>
    <n v="1570487.69"/>
    <n v="70792.740000000005"/>
    <n v="-32279.82"/>
    <n v="40184.019999999997"/>
    <n v="78696.94"/>
  </r>
  <r>
    <n v="583"/>
    <d v="2021-09-04T00:00:00"/>
    <x v="0"/>
    <n v="3"/>
    <s v="September"/>
    <n v="9"/>
    <x v="1"/>
    <x v="0"/>
    <s v="Product Sales"/>
    <x v="2"/>
    <n v="156534.01999999999"/>
    <n v="121908.32"/>
    <n v="34625.699999999997"/>
    <n v="5618.18"/>
    <n v="29007.52"/>
    <n v="18.53"/>
    <n v="3777901.19"/>
    <n v="1422688.95"/>
    <n v="2355212.2400000002"/>
    <n v="26382.43"/>
    <n v="-50553.65"/>
    <n v="16194.81"/>
    <n v="-7976.41"/>
  </r>
  <r>
    <n v="280"/>
    <d v="2021-09-04T00:00:00"/>
    <x v="0"/>
    <n v="3"/>
    <s v="September"/>
    <n v="9"/>
    <x v="3"/>
    <x v="0"/>
    <s v="Consulting"/>
    <x v="4"/>
    <n v="37034.32"/>
    <n v="28023.22"/>
    <n v="9011.1"/>
    <n v="1255.3499999999999"/>
    <n v="7755.75"/>
    <n v="20.94"/>
    <n v="2847197.28"/>
    <n v="1616622.25"/>
    <n v="1230575.03"/>
    <n v="48505.87"/>
    <n v="-35521.86"/>
    <n v="6184.35"/>
    <n v="19168.36"/>
  </r>
  <r>
    <n v="447"/>
    <d v="2021-09-10T00:00:00"/>
    <x v="0"/>
    <n v="3"/>
    <s v="September"/>
    <n v="9"/>
    <x v="1"/>
    <x v="3"/>
    <s v="Other Income"/>
    <x v="1"/>
    <n v="161538.75"/>
    <n v="75657.350000000006"/>
    <n v="85881.4"/>
    <n v="10623.59"/>
    <n v="75257.81"/>
    <n v="46.59"/>
    <n v="2592663.5"/>
    <n v="883557.46"/>
    <n v="1709106.04"/>
    <n v="104770.22"/>
    <n v="21920.799999999999"/>
    <n v="2377.0100000000002"/>
    <n v="129068.03"/>
  </r>
  <r>
    <n v="36"/>
    <d v="2021-09-10T00:00:00"/>
    <x v="0"/>
    <n v="3"/>
    <s v="September"/>
    <n v="9"/>
    <x v="5"/>
    <x v="3"/>
    <s v="Product Sales"/>
    <x v="2"/>
    <n v="115091.92"/>
    <n v="58364.75"/>
    <n v="56727.17"/>
    <n v="9178.11"/>
    <n v="47549.06"/>
    <n v="41.31"/>
    <n v="2896652.45"/>
    <n v="784209.02"/>
    <n v="2112443.4300000002"/>
    <n v="44477.4"/>
    <n v="-56558.53"/>
    <n v="-33662.5"/>
    <n v="-45743.63"/>
  </r>
  <r>
    <n v="339"/>
    <d v="2021-09-11T00:00:00"/>
    <x v="0"/>
    <n v="3"/>
    <s v="September"/>
    <n v="9"/>
    <x v="3"/>
    <x v="1"/>
    <s v="Product Sales"/>
    <x v="1"/>
    <n v="114037.7"/>
    <n v="57134.89"/>
    <n v="56902.81"/>
    <n v="11214.95"/>
    <n v="45687.86"/>
    <n v="40.06"/>
    <n v="4539846.05"/>
    <n v="2488161.59"/>
    <n v="2051684.46"/>
    <n v="21803.05"/>
    <n v="19588.419999999998"/>
    <n v="39392.94"/>
    <n v="80784.41"/>
  </r>
  <r>
    <n v="363"/>
    <d v="2021-09-11T00:00:00"/>
    <x v="0"/>
    <n v="3"/>
    <s v="September"/>
    <n v="9"/>
    <x v="1"/>
    <x v="1"/>
    <s v="Consulting"/>
    <x v="5"/>
    <n v="55226.39"/>
    <n v="38176.589999999997"/>
    <n v="17049.8"/>
    <n v="3627.45"/>
    <n v="13422.35"/>
    <n v="24.3"/>
    <n v="4061585.93"/>
    <n v="1994189.68"/>
    <n v="2067396.25"/>
    <n v="24353.439999999999"/>
    <n v="-63899.29"/>
    <n v="-11216.87"/>
    <n v="-50762.720000000001"/>
  </r>
  <r>
    <n v="328"/>
    <d v="2021-09-20T00:00:00"/>
    <x v="0"/>
    <n v="3"/>
    <s v="September"/>
    <n v="9"/>
    <x v="4"/>
    <x v="2"/>
    <s v="Service Revenue"/>
    <x v="5"/>
    <n v="119776.86"/>
    <n v="83968.97"/>
    <n v="35807.89"/>
    <n v="4797.66"/>
    <n v="31010.23"/>
    <n v="25.89"/>
    <n v="4316491.5599999996"/>
    <n v="2714488.67"/>
    <n v="1602002.89"/>
    <n v="71798.64"/>
    <n v="3906.7"/>
    <n v="-12253.53"/>
    <n v="63451.81"/>
  </r>
  <r>
    <n v="524"/>
    <d v="2021-09-21T00:00:00"/>
    <x v="0"/>
    <n v="3"/>
    <s v="September"/>
    <n v="9"/>
    <x v="0"/>
    <x v="0"/>
    <s v="Other Income"/>
    <x v="0"/>
    <n v="55483.42"/>
    <n v="44414.53"/>
    <n v="11068.89"/>
    <n v="1272.43"/>
    <n v="9796.4599999999991"/>
    <n v="17.66"/>
    <n v="3261574.34"/>
    <n v="1106438.6499999999"/>
    <n v="2155135.69"/>
    <n v="23449.95"/>
    <n v="-1602.49"/>
    <n v="-20977.21"/>
    <n v="870.25"/>
  </r>
  <r>
    <n v="542"/>
    <d v="2021-09-26T00:00:00"/>
    <x v="0"/>
    <n v="3"/>
    <s v="September"/>
    <n v="9"/>
    <x v="5"/>
    <x v="1"/>
    <s v="Service Revenue"/>
    <x v="4"/>
    <n v="136491.59"/>
    <n v="92669.11"/>
    <n v="43822.48"/>
    <n v="4114.3"/>
    <n v="39708.18"/>
    <n v="29.09"/>
    <n v="1479762.04"/>
    <n v="518118.12"/>
    <n v="961643.92"/>
    <n v="76246.149999999994"/>
    <n v="-23680.06"/>
    <n v="8682.82"/>
    <n v="61248.91"/>
  </r>
  <r>
    <n v="100"/>
    <d v="2021-09-27T00:00:00"/>
    <x v="0"/>
    <n v="3"/>
    <s v="September"/>
    <n v="9"/>
    <x v="4"/>
    <x v="0"/>
    <s v="Service Revenue"/>
    <x v="5"/>
    <n v="86304.85"/>
    <n v="58194.48"/>
    <n v="28110.37"/>
    <n v="5105.21"/>
    <n v="23005.16"/>
    <n v="26.66"/>
    <n v="4068302.43"/>
    <n v="2082986.04"/>
    <n v="1985316.39"/>
    <n v="72375.83"/>
    <n v="-41614.550000000003"/>
    <n v="-4084.9"/>
    <n v="26676.38"/>
  </r>
  <r>
    <n v="31"/>
    <d v="2021-10-04T00:00:00"/>
    <x v="0"/>
    <n v="4"/>
    <s v="October"/>
    <n v="10"/>
    <x v="2"/>
    <x v="2"/>
    <s v="Consulting"/>
    <x v="2"/>
    <n v="78153.66"/>
    <n v="48874.87"/>
    <n v="29278.79"/>
    <n v="4109.8"/>
    <n v="25168.99"/>
    <n v="32.200000000000003"/>
    <n v="3419702.78"/>
    <n v="1510936.99"/>
    <n v="1908765.79"/>
    <n v="41904.949999999997"/>
    <n v="3682.25"/>
    <n v="15774.23"/>
    <n v="61361.43"/>
  </r>
  <r>
    <n v="436"/>
    <d v="2021-10-07T00:00:00"/>
    <x v="0"/>
    <n v="4"/>
    <s v="October"/>
    <n v="10"/>
    <x v="5"/>
    <x v="0"/>
    <s v="Consulting"/>
    <x v="6"/>
    <n v="93211.02"/>
    <n v="58597.57"/>
    <n v="34613.449999999997"/>
    <n v="4018.23"/>
    <n v="30595.22"/>
    <n v="32.82"/>
    <n v="1020012.7"/>
    <n v="596267.16"/>
    <n v="423745.54"/>
    <n v="40792.47"/>
    <n v="-68561.88"/>
    <n v="40298.129999999997"/>
    <n v="12528.72"/>
  </r>
  <r>
    <n v="289"/>
    <d v="2021-10-07T00:00:00"/>
    <x v="0"/>
    <n v="4"/>
    <s v="October"/>
    <n v="10"/>
    <x v="0"/>
    <x v="1"/>
    <s v="Service Revenue"/>
    <x v="5"/>
    <n v="108972.95"/>
    <n v="88070.23"/>
    <n v="20902.72"/>
    <n v="1908.75"/>
    <n v="18993.97"/>
    <n v="17.43"/>
    <n v="3417431.03"/>
    <n v="955657.83"/>
    <n v="2461773.2000000002"/>
    <n v="19031.48"/>
    <n v="10381.450000000001"/>
    <n v="3347.22"/>
    <n v="32760.15"/>
  </r>
  <r>
    <n v="412"/>
    <d v="2021-10-11T00:00:00"/>
    <x v="0"/>
    <n v="4"/>
    <s v="October"/>
    <n v="10"/>
    <x v="5"/>
    <x v="2"/>
    <s v="Product Sales"/>
    <x v="6"/>
    <n v="33853.160000000003"/>
    <n v="16957.830000000002"/>
    <n v="16895.330000000002"/>
    <n v="1354.3"/>
    <n v="15541.03"/>
    <n v="45.91"/>
    <n v="4564506.32"/>
    <n v="1186074.1599999999"/>
    <n v="3378432.16"/>
    <n v="2297.4899999999998"/>
    <n v="-28373.72"/>
    <n v="-4342.87"/>
    <n v="-30419.1"/>
  </r>
  <r>
    <n v="138"/>
    <d v="2021-10-16T00:00:00"/>
    <x v="0"/>
    <n v="4"/>
    <s v="October"/>
    <n v="10"/>
    <x v="0"/>
    <x v="0"/>
    <s v="Service Revenue"/>
    <x v="2"/>
    <n v="63529.94"/>
    <n v="31733.67"/>
    <n v="31796.27"/>
    <n v="4806.28"/>
    <n v="26989.99"/>
    <n v="42.48"/>
    <n v="4056519.81"/>
    <n v="1958728.28"/>
    <n v="2097791.5299999998"/>
    <n v="51467.98"/>
    <n v="-51030.52"/>
    <n v="21894.82"/>
    <n v="22332.28"/>
  </r>
  <r>
    <n v="288"/>
    <d v="2021-10-21T00:00:00"/>
    <x v="0"/>
    <n v="4"/>
    <s v="October"/>
    <n v="10"/>
    <x v="3"/>
    <x v="3"/>
    <s v="Other Income"/>
    <x v="3"/>
    <n v="157520.97"/>
    <n v="122322.46"/>
    <n v="35198.51"/>
    <n v="5606.16"/>
    <n v="29592.35"/>
    <n v="18.79"/>
    <n v="840648.77"/>
    <n v="340572.4"/>
    <n v="500076.37"/>
    <n v="63875.360000000001"/>
    <n v="20177.400000000001"/>
    <n v="-19652.73"/>
    <n v="64400.03"/>
  </r>
  <r>
    <n v="109"/>
    <d v="2021-10-23T00:00:00"/>
    <x v="0"/>
    <n v="4"/>
    <s v="October"/>
    <n v="10"/>
    <x v="2"/>
    <x v="2"/>
    <s v="Consulting"/>
    <x v="1"/>
    <n v="174318.76"/>
    <n v="94910.19"/>
    <n v="79408.570000000007"/>
    <n v="15284.36"/>
    <n v="64124.21"/>
    <n v="36.79"/>
    <n v="4903840.79"/>
    <n v="1960156.9"/>
    <n v="2943683.89"/>
    <n v="35525.49"/>
    <n v="-45585.27"/>
    <n v="43087.72"/>
    <n v="33027.94"/>
  </r>
  <r>
    <n v="439"/>
    <d v="2021-10-29T00:00:00"/>
    <x v="0"/>
    <n v="4"/>
    <s v="October"/>
    <n v="10"/>
    <x v="2"/>
    <x v="2"/>
    <s v="Consulting"/>
    <x v="4"/>
    <n v="172813.05"/>
    <n v="100293.96"/>
    <n v="72519.09"/>
    <n v="6332.88"/>
    <n v="66186.210000000006"/>
    <n v="38.299999999999997"/>
    <n v="1305927.23"/>
    <n v="531364.97"/>
    <n v="774562.26"/>
    <n v="112008.59"/>
    <n v="-55880.09"/>
    <n v="36351.58"/>
    <n v="92480.08"/>
  </r>
  <r>
    <n v="514"/>
    <d v="2021-11-01T00:00:00"/>
    <x v="0"/>
    <n v="4"/>
    <s v="November"/>
    <n v="11"/>
    <x v="4"/>
    <x v="3"/>
    <s v="Service Revenue"/>
    <x v="1"/>
    <n v="159802.85999999999"/>
    <n v="124583.57"/>
    <n v="35219.29"/>
    <n v="5506.06"/>
    <n v="29713.23"/>
    <n v="18.59"/>
    <n v="2566866.6"/>
    <n v="720744.5"/>
    <n v="1846122.1"/>
    <n v="53374.43"/>
    <n v="12125.94"/>
    <n v="-15534.49"/>
    <n v="49965.88"/>
  </r>
  <r>
    <n v="511"/>
    <d v="2021-11-10T00:00:00"/>
    <x v="0"/>
    <n v="4"/>
    <s v="November"/>
    <n v="11"/>
    <x v="0"/>
    <x v="2"/>
    <s v="Service Revenue"/>
    <x v="5"/>
    <n v="108574.62"/>
    <n v="59106.35"/>
    <n v="49468.27"/>
    <n v="10415"/>
    <n v="39053.269999999997"/>
    <n v="35.97"/>
    <n v="3883075.64"/>
    <n v="1884636.3"/>
    <n v="1998439.34"/>
    <n v="26066.41"/>
    <n v="-60298.18"/>
    <n v="-33576.14"/>
    <n v="-67807.91"/>
  </r>
  <r>
    <n v="66"/>
    <d v="2021-11-12T00:00:00"/>
    <x v="0"/>
    <n v="4"/>
    <s v="November"/>
    <n v="11"/>
    <x v="1"/>
    <x v="2"/>
    <s v="Consulting"/>
    <x v="1"/>
    <n v="132302.87"/>
    <n v="101106.17"/>
    <n v="31196.7"/>
    <n v="3819.84"/>
    <n v="27376.86"/>
    <n v="20.69"/>
    <n v="2702412.34"/>
    <n v="914722.74"/>
    <n v="1787689.6"/>
    <n v="76390.3"/>
    <n v="24405.93"/>
    <n v="-36057.32"/>
    <n v="64738.91"/>
  </r>
  <r>
    <n v="236"/>
    <d v="2021-11-14T00:00:00"/>
    <x v="0"/>
    <n v="4"/>
    <s v="November"/>
    <n v="11"/>
    <x v="4"/>
    <x v="2"/>
    <s v="Service Revenue"/>
    <x v="1"/>
    <n v="70028.2"/>
    <n v="43690.29"/>
    <n v="26337.91"/>
    <n v="6092.59"/>
    <n v="20245.32"/>
    <n v="28.91"/>
    <n v="3684746.08"/>
    <n v="1012867.76"/>
    <n v="2671878.3199999998"/>
    <n v="2029.56"/>
    <n v="-69215.839999999997"/>
    <n v="23092.18"/>
    <n v="-44094.1"/>
  </r>
  <r>
    <n v="490"/>
    <d v="2021-11-17T00:00:00"/>
    <x v="0"/>
    <n v="4"/>
    <s v="November"/>
    <n v="11"/>
    <x v="4"/>
    <x v="1"/>
    <s v="Product Sales"/>
    <x v="1"/>
    <n v="60225.46"/>
    <n v="39218.89"/>
    <n v="21006.57"/>
    <n v="4162.3500000000004"/>
    <n v="16844.22"/>
    <n v="27.97"/>
    <n v="2818251.63"/>
    <n v="1820912.03"/>
    <n v="997339.6"/>
    <n v="35751.550000000003"/>
    <n v="-32902.629999999997"/>
    <n v="37215.199999999997"/>
    <n v="40064.120000000003"/>
  </r>
  <r>
    <n v="13"/>
    <d v="2021-11-27T00:00:00"/>
    <x v="0"/>
    <n v="4"/>
    <s v="November"/>
    <n v="11"/>
    <x v="0"/>
    <x v="3"/>
    <s v="Service Revenue"/>
    <x v="6"/>
    <n v="152532.5"/>
    <n v="110640.72"/>
    <n v="41891.78"/>
    <n v="8201.43"/>
    <n v="33690.35"/>
    <n v="22.09"/>
    <n v="1568779.12"/>
    <n v="643339.31000000006"/>
    <n v="925439.81"/>
    <n v="41907.54"/>
    <n v="-61710.87"/>
    <n v="12837.01"/>
    <n v="-6966.32"/>
  </r>
  <r>
    <n v="372"/>
    <d v="2021-12-04T00:00:00"/>
    <x v="0"/>
    <n v="4"/>
    <s v="December"/>
    <n v="12"/>
    <x v="0"/>
    <x v="3"/>
    <s v="Consulting"/>
    <x v="1"/>
    <n v="75022.62"/>
    <n v="49148.22"/>
    <n v="25874.400000000001"/>
    <n v="2721.91"/>
    <n v="23152.49"/>
    <n v="30.86"/>
    <n v="914444.39"/>
    <n v="526821.04"/>
    <n v="387623.35"/>
    <n v="64704.84"/>
    <n v="12360.64"/>
    <n v="49878.79"/>
    <n v="126944.27"/>
  </r>
  <r>
    <n v="113"/>
    <d v="2021-12-04T00:00:00"/>
    <x v="0"/>
    <n v="4"/>
    <s v="December"/>
    <n v="12"/>
    <x v="3"/>
    <x v="3"/>
    <s v="Service Revenue"/>
    <x v="2"/>
    <n v="112333.03"/>
    <n v="66361.33"/>
    <n v="45971.7"/>
    <n v="7964.36"/>
    <n v="38007.339999999997"/>
    <n v="33.83"/>
    <n v="3184184.64"/>
    <n v="1491073.28"/>
    <n v="1693111.36"/>
    <n v="43560.9"/>
    <n v="-68533.289999999994"/>
    <n v="18706.169999999998"/>
    <n v="-6266.22"/>
  </r>
  <r>
    <n v="319"/>
    <d v="2021-12-04T00:00:00"/>
    <x v="0"/>
    <n v="4"/>
    <s v="December"/>
    <n v="12"/>
    <x v="4"/>
    <x v="3"/>
    <s v="Consulting"/>
    <x v="0"/>
    <n v="101068.58"/>
    <n v="60684.2"/>
    <n v="40384.379999999997"/>
    <n v="9431.4699999999993"/>
    <n v="30952.91"/>
    <n v="30.63"/>
    <n v="3217329.42"/>
    <n v="1546395.24"/>
    <n v="1670934.18"/>
    <n v="45654.19"/>
    <n v="-32883.050000000003"/>
    <n v="38564.31"/>
    <n v="51335.45"/>
  </r>
  <r>
    <n v="24"/>
    <d v="2021-12-10T00:00:00"/>
    <x v="0"/>
    <n v="4"/>
    <s v="December"/>
    <n v="12"/>
    <x v="0"/>
    <x v="3"/>
    <s v="Service Revenue"/>
    <x v="5"/>
    <n v="86464.13"/>
    <n v="58810.49"/>
    <n v="27653.64"/>
    <n v="6266.37"/>
    <n v="21387.27"/>
    <n v="24.74"/>
    <n v="4772842.8099999996"/>
    <n v="1473994.14"/>
    <n v="3298848.67"/>
    <n v="65514.28"/>
    <n v="-20788.37"/>
    <n v="-14175.56"/>
    <n v="30550.35"/>
  </r>
  <r>
    <n v="331"/>
    <d v="2021-12-12T00:00:00"/>
    <x v="0"/>
    <n v="4"/>
    <s v="December"/>
    <n v="12"/>
    <x v="1"/>
    <x v="1"/>
    <s v="Consulting"/>
    <x v="5"/>
    <n v="175051.84"/>
    <n v="107706.66"/>
    <n v="67345.179999999993"/>
    <n v="11129.33"/>
    <n v="56215.85"/>
    <n v="32.11"/>
    <n v="1609963.77"/>
    <n v="705782.52"/>
    <n v="904181.25"/>
    <n v="79168.94"/>
    <n v="5117.71"/>
    <n v="35386.81"/>
    <n v="119673.46"/>
  </r>
  <r>
    <n v="543"/>
    <d v="2022-01-05T00:00:00"/>
    <x v="1"/>
    <n v="1"/>
    <s v="January"/>
    <n v="1"/>
    <x v="5"/>
    <x v="3"/>
    <s v="Product Sales"/>
    <x v="5"/>
    <n v="164293.49"/>
    <n v="101682.6"/>
    <n v="62610.89"/>
    <n v="6599.45"/>
    <n v="56011.44"/>
    <n v="34.090000000000003"/>
    <n v="4684710.17"/>
    <n v="2030737.75"/>
    <n v="2653972.42"/>
    <n v="40541.949999999997"/>
    <n v="-39760.43"/>
    <n v="-34919.74"/>
    <n v="-34138.22"/>
  </r>
  <r>
    <n v="139"/>
    <d v="2022-01-14T00:00:00"/>
    <x v="1"/>
    <n v="1"/>
    <s v="January"/>
    <n v="1"/>
    <x v="0"/>
    <x v="3"/>
    <s v="Service Revenue"/>
    <x v="6"/>
    <n v="122541.31"/>
    <n v="64159.79"/>
    <n v="58381.52"/>
    <n v="5311.83"/>
    <n v="53069.69"/>
    <n v="43.31"/>
    <n v="691849.44"/>
    <n v="275745.88"/>
    <n v="416103.56"/>
    <n v="44337.78"/>
    <n v="-5390.99"/>
    <n v="9933.3799999999992"/>
    <n v="48880.17"/>
  </r>
  <r>
    <n v="120"/>
    <d v="2022-01-15T00:00:00"/>
    <x v="1"/>
    <n v="1"/>
    <s v="January"/>
    <n v="1"/>
    <x v="2"/>
    <x v="1"/>
    <s v="Service Revenue"/>
    <x v="5"/>
    <n v="61714.94"/>
    <n v="45594.65"/>
    <n v="16120.29"/>
    <n v="2042.72"/>
    <n v="14077.57"/>
    <n v="22.81"/>
    <n v="4201764.43"/>
    <n v="1762620.44"/>
    <n v="2439143.9900000002"/>
    <n v="37481.56"/>
    <n v="-60446.47"/>
    <n v="22385.93"/>
    <n v="-578.98"/>
  </r>
  <r>
    <n v="270"/>
    <d v="2022-01-20T00:00:00"/>
    <x v="1"/>
    <n v="1"/>
    <s v="January"/>
    <n v="1"/>
    <x v="4"/>
    <x v="0"/>
    <s v="Consulting"/>
    <x v="2"/>
    <n v="102196.26"/>
    <n v="74076.47"/>
    <n v="28119.79"/>
    <n v="3812.98"/>
    <n v="24306.81"/>
    <n v="23.78"/>
    <n v="4505256.6100000003"/>
    <n v="1278233.77"/>
    <n v="3227022.84"/>
    <n v="58881.96"/>
    <n v="16131.96"/>
    <n v="41725.230000000003"/>
    <n v="116739.15"/>
  </r>
  <r>
    <n v="28"/>
    <d v="2022-01-21T00:00:00"/>
    <x v="1"/>
    <n v="1"/>
    <s v="January"/>
    <n v="1"/>
    <x v="3"/>
    <x v="3"/>
    <s v="Service Revenue"/>
    <x v="6"/>
    <n v="49331.54"/>
    <n v="29085.67"/>
    <n v="20245.87"/>
    <n v="1628.6"/>
    <n v="18617.27"/>
    <n v="37.74"/>
    <n v="4407354.9800000004"/>
    <n v="1250837.33"/>
    <n v="3156517.65"/>
    <n v="36399.519999999997"/>
    <n v="28625.7"/>
    <n v="13659.06"/>
    <n v="78684.28"/>
  </r>
  <r>
    <n v="64"/>
    <d v="2022-01-23T00:00:00"/>
    <x v="1"/>
    <n v="1"/>
    <s v="January"/>
    <n v="1"/>
    <x v="1"/>
    <x v="2"/>
    <s v="Consulting"/>
    <x v="5"/>
    <n v="101801.15"/>
    <n v="71740.179999999993"/>
    <n v="30060.97"/>
    <n v="4627"/>
    <n v="25433.97"/>
    <n v="24.98"/>
    <n v="1608809.15"/>
    <n v="929314.01"/>
    <n v="679495.14"/>
    <n v="59387.24"/>
    <n v="-530.35"/>
    <n v="-12785.49"/>
    <n v="46071.4"/>
  </r>
  <r>
    <n v="135"/>
    <d v="2022-01-27T00:00:00"/>
    <x v="1"/>
    <n v="1"/>
    <s v="January"/>
    <n v="1"/>
    <x v="5"/>
    <x v="3"/>
    <s v="Service Revenue"/>
    <x v="0"/>
    <n v="57822.080000000002"/>
    <n v="36387.58"/>
    <n v="21434.5"/>
    <n v="4463.16"/>
    <n v="16971.34"/>
    <n v="29.35"/>
    <n v="3287739.88"/>
    <n v="1212985.3899999999"/>
    <n v="2074754.49"/>
    <n v="21398.31"/>
    <n v="-52933.52"/>
    <n v="-32537.02"/>
    <n v="-64072.23"/>
  </r>
  <r>
    <n v="174"/>
    <d v="2022-01-28T00:00:00"/>
    <x v="1"/>
    <n v="1"/>
    <s v="January"/>
    <n v="1"/>
    <x v="0"/>
    <x v="3"/>
    <s v="Product Sales"/>
    <x v="2"/>
    <n v="120371.19"/>
    <n v="57884.3"/>
    <n v="62486.89"/>
    <n v="14372.66"/>
    <n v="48114.23"/>
    <n v="39.97"/>
    <n v="4116215.91"/>
    <n v="1860870.04"/>
    <n v="2255345.87"/>
    <n v="95484.36"/>
    <n v="-28223.9"/>
    <n v="58411.03"/>
    <n v="125671.49"/>
  </r>
  <r>
    <n v="382"/>
    <d v="2022-02-02T00:00:00"/>
    <x v="1"/>
    <n v="1"/>
    <s v="February"/>
    <n v="2"/>
    <x v="0"/>
    <x v="2"/>
    <s v="Service Revenue"/>
    <x v="6"/>
    <n v="41482.28"/>
    <n v="20418.900000000001"/>
    <n v="21063.38"/>
    <n v="5054.75"/>
    <n v="16008.63"/>
    <n v="38.590000000000003"/>
    <n v="4426947.82"/>
    <n v="1907282.46"/>
    <n v="2519665.36"/>
    <n v="64873.06"/>
    <n v="-69981.350000000006"/>
    <n v="21397.95"/>
    <n v="16289.66"/>
  </r>
  <r>
    <n v="171"/>
    <d v="2022-02-02T00:00:00"/>
    <x v="1"/>
    <n v="1"/>
    <s v="February"/>
    <n v="2"/>
    <x v="5"/>
    <x v="2"/>
    <s v="Product Sales"/>
    <x v="6"/>
    <n v="148743.35"/>
    <n v="87403.839999999997"/>
    <n v="61339.51"/>
    <n v="9617.33"/>
    <n v="51722.18"/>
    <n v="34.770000000000003"/>
    <n v="2288216.2599999998"/>
    <n v="657549.12"/>
    <n v="1630667.14"/>
    <n v="57007.95"/>
    <n v="-50439.07"/>
    <n v="-21327.67"/>
    <n v="-14758.79"/>
  </r>
  <r>
    <n v="493"/>
    <d v="2022-02-04T00:00:00"/>
    <x v="1"/>
    <n v="1"/>
    <s v="February"/>
    <n v="2"/>
    <x v="4"/>
    <x v="0"/>
    <s v="Service Revenue"/>
    <x v="3"/>
    <n v="113227"/>
    <n v="87315.28"/>
    <n v="25911.72"/>
    <n v="4641.51"/>
    <n v="21270.21"/>
    <n v="18.79"/>
    <n v="3731063.8"/>
    <n v="1488013.27"/>
    <n v="2243050.5299999998"/>
    <n v="-1333.83"/>
    <n v="-24209.97"/>
    <n v="-552.05999999999995"/>
    <n v="-26095.86"/>
  </r>
  <r>
    <n v="389"/>
    <d v="2022-02-05T00:00:00"/>
    <x v="1"/>
    <n v="1"/>
    <s v="February"/>
    <n v="2"/>
    <x v="3"/>
    <x v="3"/>
    <s v="Consulting"/>
    <x v="3"/>
    <n v="177290.8"/>
    <n v="85430.92"/>
    <n v="91859.88"/>
    <n v="20066.400000000001"/>
    <n v="71793.48"/>
    <n v="40.49"/>
    <n v="1761506.39"/>
    <n v="533510.72"/>
    <n v="1227995.67"/>
    <n v="76981.929999999993"/>
    <n v="-5604.34"/>
    <n v="-1904.82"/>
    <n v="69472.77"/>
  </r>
  <r>
    <n v="286"/>
    <d v="2022-02-05T00:00:00"/>
    <x v="1"/>
    <n v="1"/>
    <s v="February"/>
    <n v="2"/>
    <x v="1"/>
    <x v="2"/>
    <s v="Other Income"/>
    <x v="1"/>
    <n v="103709.78"/>
    <n v="62757.95"/>
    <n v="40951.83"/>
    <n v="3402.32"/>
    <n v="37549.51"/>
    <n v="36.21"/>
    <n v="4067411.51"/>
    <n v="1129188.1200000001"/>
    <n v="2938223.39"/>
    <n v="45489.91"/>
    <n v="-13932.17"/>
    <n v="22842.65"/>
    <n v="54400.39"/>
  </r>
  <r>
    <n v="94"/>
    <d v="2022-02-06T00:00:00"/>
    <x v="1"/>
    <n v="1"/>
    <s v="February"/>
    <n v="2"/>
    <x v="4"/>
    <x v="3"/>
    <s v="Product Sales"/>
    <x v="4"/>
    <n v="176507.29"/>
    <n v="92545.93"/>
    <n v="83961.36"/>
    <n v="16611.16"/>
    <n v="67350.2"/>
    <n v="38.159999999999997"/>
    <n v="4196483.28"/>
    <n v="1118251.1599999999"/>
    <n v="3078232.12"/>
    <n v="90981.04"/>
    <n v="25155"/>
    <n v="-27578"/>
    <n v="88558.04"/>
  </r>
  <r>
    <n v="308"/>
    <d v="2022-02-07T00:00:00"/>
    <x v="1"/>
    <n v="1"/>
    <s v="February"/>
    <n v="2"/>
    <x v="0"/>
    <x v="1"/>
    <s v="Consulting"/>
    <x v="0"/>
    <n v="133909.23000000001"/>
    <n v="63555.360000000001"/>
    <n v="70353.87"/>
    <n v="8388.65"/>
    <n v="61965.22"/>
    <n v="46.27"/>
    <n v="4620525.05"/>
    <n v="2294209.88"/>
    <n v="2326315.17"/>
    <n v="51668.1"/>
    <n v="-932.02"/>
    <n v="19677.64"/>
    <n v="70413.72"/>
  </r>
  <r>
    <n v="352"/>
    <d v="2022-02-08T00:00:00"/>
    <x v="1"/>
    <n v="1"/>
    <s v="February"/>
    <n v="2"/>
    <x v="1"/>
    <x v="2"/>
    <s v="Product Sales"/>
    <x v="2"/>
    <n v="118379.66"/>
    <n v="60411.16"/>
    <n v="57968.5"/>
    <n v="6941.62"/>
    <n v="51026.879999999997"/>
    <n v="43.1"/>
    <n v="606684.89"/>
    <n v="354291.16"/>
    <n v="252393.73"/>
    <n v="99002.13"/>
    <n v="-56454.05"/>
    <n v="-16852.48"/>
    <n v="25695.599999999999"/>
  </r>
  <r>
    <n v="153"/>
    <d v="2022-02-11T00:00:00"/>
    <x v="1"/>
    <n v="1"/>
    <s v="February"/>
    <n v="2"/>
    <x v="4"/>
    <x v="1"/>
    <s v="Consulting"/>
    <x v="4"/>
    <n v="25810.59"/>
    <n v="18882.169999999998"/>
    <n v="6928.42"/>
    <n v="595.86"/>
    <n v="6332.56"/>
    <n v="24.53"/>
    <n v="3855802.02"/>
    <n v="1276240.49"/>
    <n v="2579561.5299999998"/>
    <n v="52978.44"/>
    <n v="-33205.919999999998"/>
    <n v="-7306.84"/>
    <n v="12465.68"/>
  </r>
  <r>
    <n v="482"/>
    <d v="2022-02-12T00:00:00"/>
    <x v="1"/>
    <n v="1"/>
    <s v="February"/>
    <n v="2"/>
    <x v="2"/>
    <x v="2"/>
    <s v="Product Sales"/>
    <x v="3"/>
    <n v="95793.24"/>
    <n v="54776.04"/>
    <n v="41017.199999999997"/>
    <n v="3647.33"/>
    <n v="37369.870000000003"/>
    <n v="39.01"/>
    <n v="2526063.29"/>
    <n v="888920.37"/>
    <n v="1637142.92"/>
    <n v="35520.660000000003"/>
    <n v="561.53"/>
    <n v="12155.1"/>
    <n v="48237.29"/>
  </r>
  <r>
    <n v="137"/>
    <d v="2022-02-23T00:00:00"/>
    <x v="1"/>
    <n v="1"/>
    <s v="February"/>
    <n v="2"/>
    <x v="0"/>
    <x v="3"/>
    <s v="Product Sales"/>
    <x v="4"/>
    <n v="137269.21"/>
    <n v="102001.27"/>
    <n v="35267.94"/>
    <n v="5248.42"/>
    <n v="30019.52"/>
    <n v="21.87"/>
    <n v="3443341.08"/>
    <n v="1348737.75"/>
    <n v="2094603.33"/>
    <n v="42059.89"/>
    <n v="-21836.52"/>
    <n v="-22311.29"/>
    <n v="-2087.92"/>
  </r>
  <r>
    <n v="404"/>
    <d v="2022-03-14T00:00:00"/>
    <x v="1"/>
    <n v="1"/>
    <s v="March"/>
    <n v="3"/>
    <x v="3"/>
    <x v="1"/>
    <s v="Product Sales"/>
    <x v="5"/>
    <n v="110788.13"/>
    <n v="73231.64"/>
    <n v="37556.49"/>
    <n v="4345.97"/>
    <n v="33210.519999999997"/>
    <n v="29.98"/>
    <n v="3840221.27"/>
    <n v="998763.36"/>
    <n v="2841457.91"/>
    <n v="31597.07"/>
    <n v="8021.26"/>
    <n v="16389.29"/>
    <n v="56007.62"/>
  </r>
  <r>
    <n v="250"/>
    <d v="2022-03-18T00:00:00"/>
    <x v="1"/>
    <n v="1"/>
    <s v="March"/>
    <n v="3"/>
    <x v="3"/>
    <x v="3"/>
    <s v="Product Sales"/>
    <x v="1"/>
    <n v="108559.66"/>
    <n v="60197.94"/>
    <n v="48361.72"/>
    <n v="7364.95"/>
    <n v="40996.769999999997"/>
    <n v="37.76"/>
    <n v="669069.91"/>
    <n v="201488.21"/>
    <n v="467581.7"/>
    <n v="72240.509999999995"/>
    <n v="-69998.84"/>
    <n v="1656.58"/>
    <n v="3898.25"/>
  </r>
  <r>
    <n v="521"/>
    <d v="2022-03-20T00:00:00"/>
    <x v="1"/>
    <n v="1"/>
    <s v="March"/>
    <n v="3"/>
    <x v="1"/>
    <x v="1"/>
    <s v="Other Income"/>
    <x v="6"/>
    <n v="57537.3"/>
    <n v="42687.1"/>
    <n v="14850.2"/>
    <n v="3143.45"/>
    <n v="11706.75"/>
    <n v="20.350000000000001"/>
    <n v="1479780.05"/>
    <n v="737656.46"/>
    <n v="742123.59"/>
    <n v="-14446.93"/>
    <n v="-21642.54"/>
    <n v="-38535.29"/>
    <n v="-74624.759999999995"/>
  </r>
  <r>
    <n v="341"/>
    <d v="2022-03-29T00:00:00"/>
    <x v="1"/>
    <n v="1"/>
    <s v="March"/>
    <n v="3"/>
    <x v="0"/>
    <x v="3"/>
    <s v="Other Income"/>
    <x v="4"/>
    <n v="96164.22"/>
    <n v="54065.04"/>
    <n v="42099.18"/>
    <n v="10042.1"/>
    <n v="32057.08"/>
    <n v="33.340000000000003"/>
    <n v="1033896.95"/>
    <n v="644634.51"/>
    <n v="389262.44"/>
    <n v="56766.400000000001"/>
    <n v="-16842.78"/>
    <n v="-36734.089999999997"/>
    <n v="3189.53"/>
  </r>
  <r>
    <n v="416"/>
    <d v="2022-03-29T00:00:00"/>
    <x v="1"/>
    <n v="1"/>
    <s v="March"/>
    <n v="3"/>
    <x v="3"/>
    <x v="2"/>
    <s v="Consulting"/>
    <x v="2"/>
    <n v="75178.28"/>
    <n v="55114.83"/>
    <n v="20063.45"/>
    <n v="2093.37"/>
    <n v="17970.080000000002"/>
    <n v="23.9"/>
    <n v="3459722.66"/>
    <n v="1752790.39"/>
    <n v="1706932.27"/>
    <n v="-9984.34"/>
    <n v="8797.01"/>
    <n v="50324.81"/>
    <n v="49137.48"/>
  </r>
  <r>
    <n v="600"/>
    <d v="2022-03-29T00:00:00"/>
    <x v="1"/>
    <n v="1"/>
    <s v="March"/>
    <n v="3"/>
    <x v="3"/>
    <x v="1"/>
    <s v="Product Sales"/>
    <x v="1"/>
    <n v="175417.98"/>
    <n v="86232.46"/>
    <n v="89185.52"/>
    <n v="11205.79"/>
    <n v="77979.73"/>
    <n v="44.45"/>
    <n v="2715807.92"/>
    <n v="1587910.82"/>
    <n v="1127897.1000000001"/>
    <n v="61073.78"/>
    <n v="-42304.54"/>
    <n v="-33420.18"/>
    <n v="-14650.94"/>
  </r>
  <r>
    <n v="103"/>
    <d v="2022-04-01T00:00:00"/>
    <x v="1"/>
    <n v="2"/>
    <s v="April"/>
    <n v="4"/>
    <x v="3"/>
    <x v="2"/>
    <s v="Service Revenue"/>
    <x v="5"/>
    <n v="126794.18"/>
    <n v="72313.3"/>
    <n v="54480.88"/>
    <n v="11522.18"/>
    <n v="42958.7"/>
    <n v="33.880000000000003"/>
    <n v="1088931.47"/>
    <n v="694660.33"/>
    <n v="394271.14"/>
    <n v="49261.86"/>
    <n v="-46394.95"/>
    <n v="-32650.33"/>
    <n v="-29783.42"/>
  </r>
  <r>
    <n v="393"/>
    <d v="2022-04-05T00:00:00"/>
    <x v="1"/>
    <n v="2"/>
    <s v="April"/>
    <n v="4"/>
    <x v="1"/>
    <x v="2"/>
    <s v="Consulting"/>
    <x v="6"/>
    <n v="53591.15"/>
    <n v="28127.25"/>
    <n v="25463.9"/>
    <n v="3711.11"/>
    <n v="21752.79"/>
    <n v="40.590000000000003"/>
    <n v="730175.93"/>
    <n v="298727.65999999997"/>
    <n v="431448.27"/>
    <n v="32689.39"/>
    <n v="-21670.57"/>
    <n v="-1721.59"/>
    <n v="9297.23"/>
  </r>
  <r>
    <n v="33"/>
    <d v="2022-04-05T00:00:00"/>
    <x v="1"/>
    <n v="2"/>
    <s v="April"/>
    <n v="4"/>
    <x v="0"/>
    <x v="2"/>
    <s v="Other Income"/>
    <x v="3"/>
    <n v="63123.45"/>
    <n v="32158.37"/>
    <n v="30965.08"/>
    <n v="3459.31"/>
    <n v="27505.77"/>
    <n v="43.57"/>
    <n v="1782928.26"/>
    <n v="569377.14"/>
    <n v="1213551.1200000001"/>
    <n v="69247"/>
    <n v="-61976.63"/>
    <n v="12451.14"/>
    <n v="19721.509999999998"/>
  </r>
  <r>
    <n v="302"/>
    <d v="2022-04-09T00:00:00"/>
    <x v="1"/>
    <n v="2"/>
    <s v="April"/>
    <n v="4"/>
    <x v="4"/>
    <x v="0"/>
    <s v="Other Income"/>
    <x v="0"/>
    <n v="121815.18"/>
    <n v="93778.23"/>
    <n v="28036.95"/>
    <n v="5040.46"/>
    <n v="22996.49"/>
    <n v="18.88"/>
    <n v="3114276.71"/>
    <n v="2012668.79"/>
    <n v="1101607.92"/>
    <n v="53534.9"/>
    <n v="-25770.62"/>
    <n v="30739.7"/>
    <n v="58503.98"/>
  </r>
  <r>
    <n v="11"/>
    <d v="2022-04-12T00:00:00"/>
    <x v="1"/>
    <n v="2"/>
    <s v="April"/>
    <n v="4"/>
    <x v="3"/>
    <x v="2"/>
    <s v="Consulting"/>
    <x v="0"/>
    <n v="38149.85"/>
    <n v="31094.29"/>
    <n v="7055.56"/>
    <n v="1013.36"/>
    <n v="6042.2"/>
    <n v="15.84"/>
    <n v="2167889.66"/>
    <n v="1246796.33"/>
    <n v="921093.33"/>
    <n v="51822.09"/>
    <n v="28600.11"/>
    <n v="35337.82"/>
    <n v="115760.02"/>
  </r>
  <r>
    <n v="395"/>
    <d v="2022-04-15T00:00:00"/>
    <x v="1"/>
    <n v="2"/>
    <s v="April"/>
    <n v="4"/>
    <x v="2"/>
    <x v="2"/>
    <s v="Service Revenue"/>
    <x v="4"/>
    <n v="108896.87"/>
    <n v="75014.880000000005"/>
    <n v="33881.99"/>
    <n v="2973.13"/>
    <n v="30908.86"/>
    <n v="28.38"/>
    <n v="4756869"/>
    <n v="2791645.4"/>
    <n v="1965223.6"/>
    <n v="24637.86"/>
    <n v="-62281.25"/>
    <n v="-23011.29"/>
    <n v="-60654.68"/>
  </r>
  <r>
    <n v="496"/>
    <d v="2022-04-16T00:00:00"/>
    <x v="1"/>
    <n v="2"/>
    <s v="April"/>
    <n v="4"/>
    <x v="4"/>
    <x v="2"/>
    <s v="Consulting"/>
    <x v="3"/>
    <n v="143397.76000000001"/>
    <n v="91804.72"/>
    <n v="51593.04"/>
    <n v="10963.11"/>
    <n v="40629.93"/>
    <n v="28.33"/>
    <n v="2851235.64"/>
    <n v="1443894.08"/>
    <n v="1407341.56"/>
    <n v="73536.460000000006"/>
    <n v="-29489.19"/>
    <n v="-39729.19"/>
    <n v="4318.08"/>
  </r>
  <r>
    <n v="323"/>
    <d v="2022-04-18T00:00:00"/>
    <x v="1"/>
    <n v="2"/>
    <s v="April"/>
    <n v="4"/>
    <x v="0"/>
    <x v="3"/>
    <s v="Product Sales"/>
    <x v="3"/>
    <n v="100526.13"/>
    <n v="61229.919999999998"/>
    <n v="39296.21"/>
    <n v="7131.27"/>
    <n v="32164.94"/>
    <n v="32"/>
    <n v="4998009.66"/>
    <n v="2787787.62"/>
    <n v="2210222.04"/>
    <n v="33994.199999999997"/>
    <n v="12755.31"/>
    <n v="-22929.16"/>
    <n v="23820.35"/>
  </r>
  <r>
    <n v="40"/>
    <d v="2022-04-20T00:00:00"/>
    <x v="1"/>
    <n v="2"/>
    <s v="April"/>
    <n v="4"/>
    <x v="1"/>
    <x v="3"/>
    <s v="Product Sales"/>
    <x v="0"/>
    <n v="135636.28"/>
    <n v="106186.52"/>
    <n v="29449.759999999998"/>
    <n v="5480.52"/>
    <n v="23969.24"/>
    <n v="17.670000000000002"/>
    <n v="2929014.78"/>
    <n v="1246289.55"/>
    <n v="1682725.23"/>
    <n v="40168.14"/>
    <n v="-34463.75"/>
    <n v="-851.79"/>
    <n v="4852.6000000000004"/>
  </r>
  <r>
    <n v="429"/>
    <d v="2022-04-22T00:00:00"/>
    <x v="1"/>
    <n v="2"/>
    <s v="April"/>
    <n v="4"/>
    <x v="0"/>
    <x v="2"/>
    <s v="Service Revenue"/>
    <x v="4"/>
    <n v="136401.31"/>
    <n v="66962.59"/>
    <n v="69438.720000000001"/>
    <n v="5975.23"/>
    <n v="63463.49"/>
    <n v="46.53"/>
    <n v="4974486.3600000003"/>
    <n v="1706703.19"/>
    <n v="3267783.17"/>
    <n v="37769.93"/>
    <n v="-51012.47"/>
    <n v="-36104.22"/>
    <n v="-49346.76"/>
  </r>
  <r>
    <n v="189"/>
    <d v="2022-04-30T00:00:00"/>
    <x v="1"/>
    <n v="2"/>
    <s v="April"/>
    <n v="4"/>
    <x v="3"/>
    <x v="0"/>
    <s v="Service Revenue"/>
    <x v="1"/>
    <n v="146946.29999999999"/>
    <n v="118906.52"/>
    <n v="28039.78"/>
    <n v="3495.29"/>
    <n v="24544.49"/>
    <n v="16.7"/>
    <n v="1722059.44"/>
    <n v="756257.65"/>
    <n v="965801.79"/>
    <n v="73251.72"/>
    <n v="-43104.11"/>
    <n v="697.19"/>
    <n v="30844.799999999999"/>
  </r>
  <r>
    <n v="573"/>
    <d v="2022-05-03T00:00:00"/>
    <x v="1"/>
    <n v="2"/>
    <s v="May"/>
    <n v="5"/>
    <x v="2"/>
    <x v="0"/>
    <s v="Service Revenue"/>
    <x v="4"/>
    <n v="99972.08"/>
    <n v="56659.65"/>
    <n v="43312.43"/>
    <n v="9274.09"/>
    <n v="34038.339999999997"/>
    <n v="34.049999999999997"/>
    <n v="3568034.74"/>
    <n v="2160448.58"/>
    <n v="1407586.16"/>
    <n v="59439.46"/>
    <n v="-45647.17"/>
    <n v="53165.919999999998"/>
    <n v="66958.210000000006"/>
  </r>
  <r>
    <n v="315"/>
    <d v="2022-05-04T00:00:00"/>
    <x v="1"/>
    <n v="2"/>
    <s v="May"/>
    <n v="5"/>
    <x v="0"/>
    <x v="0"/>
    <s v="Other Income"/>
    <x v="1"/>
    <n v="68697.45"/>
    <n v="40161.19"/>
    <n v="28536.26"/>
    <n v="3208.14"/>
    <n v="25328.12"/>
    <n v="36.869999999999997"/>
    <n v="2061780.66"/>
    <n v="966758.66"/>
    <n v="1095022"/>
    <n v="74669.95"/>
    <n v="-3579.83"/>
    <n v="-20075.400000000001"/>
    <n v="51014.720000000001"/>
  </r>
  <r>
    <n v="469"/>
    <d v="2022-05-05T00:00:00"/>
    <x v="1"/>
    <n v="2"/>
    <s v="May"/>
    <n v="5"/>
    <x v="5"/>
    <x v="0"/>
    <s v="Service Revenue"/>
    <x v="1"/>
    <n v="136481.32999999999"/>
    <n v="75129.38"/>
    <n v="61351.95"/>
    <n v="8206.23"/>
    <n v="53145.72"/>
    <n v="38.94"/>
    <n v="4302368.84"/>
    <n v="1895317.99"/>
    <n v="2407050.85"/>
    <n v="76726.080000000002"/>
    <n v="-29762.69"/>
    <n v="-10199.31"/>
    <n v="36764.080000000002"/>
  </r>
  <r>
    <n v="121"/>
    <d v="2022-05-08T00:00:00"/>
    <x v="1"/>
    <n v="2"/>
    <s v="May"/>
    <n v="5"/>
    <x v="4"/>
    <x v="3"/>
    <s v="Product Sales"/>
    <x v="4"/>
    <n v="51042.2"/>
    <n v="36885.300000000003"/>
    <n v="14156.9"/>
    <n v="3209.02"/>
    <n v="10947.88"/>
    <n v="21.45"/>
    <n v="1475329.1"/>
    <n v="425316.46"/>
    <n v="1050012.6399999999"/>
    <n v="-17161.03"/>
    <n v="-5802.85"/>
    <n v="20709.400000000001"/>
    <n v="-2254.48"/>
  </r>
  <r>
    <n v="438"/>
    <d v="2022-05-12T00:00:00"/>
    <x v="1"/>
    <n v="2"/>
    <s v="May"/>
    <n v="5"/>
    <x v="1"/>
    <x v="0"/>
    <s v="Consulting"/>
    <x v="3"/>
    <n v="139617.73000000001"/>
    <n v="96175.35"/>
    <n v="43442.38"/>
    <n v="4625.8100000000004"/>
    <n v="38816.57"/>
    <n v="27.8"/>
    <n v="2961704.06"/>
    <n v="844022.28"/>
    <n v="2117681.7799999998"/>
    <n v="39005.620000000003"/>
    <n v="-28648.35"/>
    <n v="-36018.86"/>
    <n v="-25661.59"/>
  </r>
  <r>
    <n v="169"/>
    <d v="2022-05-18T00:00:00"/>
    <x v="1"/>
    <n v="2"/>
    <s v="May"/>
    <n v="5"/>
    <x v="0"/>
    <x v="1"/>
    <s v="Service Revenue"/>
    <x v="6"/>
    <n v="146873.12"/>
    <n v="77035.63"/>
    <n v="69837.490000000005"/>
    <n v="8657.44"/>
    <n v="61180.05"/>
    <n v="41.66"/>
    <n v="1241178.5900000001"/>
    <n v="474236.99"/>
    <n v="766941.6"/>
    <n v="91720.17"/>
    <n v="-18061.41"/>
    <n v="-19511.87"/>
    <n v="54146.89"/>
  </r>
  <r>
    <n v="152"/>
    <d v="2022-05-18T00:00:00"/>
    <x v="1"/>
    <n v="2"/>
    <s v="May"/>
    <n v="5"/>
    <x v="0"/>
    <x v="0"/>
    <s v="Other Income"/>
    <x v="6"/>
    <n v="87231.62"/>
    <n v="65077.08"/>
    <n v="22154.54"/>
    <n v="2540.8200000000002"/>
    <n v="19613.72"/>
    <n v="22.48"/>
    <n v="2997882.27"/>
    <n v="1628535.14"/>
    <n v="1369347.13"/>
    <n v="38892.559999999998"/>
    <n v="-51197.53"/>
    <n v="-4461.54"/>
    <n v="-16766.509999999998"/>
  </r>
  <r>
    <n v="79"/>
    <d v="2022-05-24T00:00:00"/>
    <x v="1"/>
    <n v="2"/>
    <s v="May"/>
    <n v="5"/>
    <x v="3"/>
    <x v="2"/>
    <s v="Consulting"/>
    <x v="6"/>
    <n v="101747.71"/>
    <n v="63878.95"/>
    <n v="37868.76"/>
    <n v="6843.24"/>
    <n v="31025.52"/>
    <n v="30.49"/>
    <n v="4211064.3499999996"/>
    <n v="1638624.87"/>
    <n v="2572439.48"/>
    <n v="55266.81"/>
    <n v="-13426.8"/>
    <n v="-13297.17"/>
    <n v="28542.84"/>
  </r>
  <r>
    <n v="366"/>
    <d v="2022-05-25T00:00:00"/>
    <x v="1"/>
    <n v="2"/>
    <s v="May"/>
    <n v="5"/>
    <x v="2"/>
    <x v="3"/>
    <s v="Other Income"/>
    <x v="6"/>
    <n v="42583.33"/>
    <n v="34869.629999999997"/>
    <n v="7713.7"/>
    <n v="857.66"/>
    <n v="6856.04"/>
    <n v="16.100000000000001"/>
    <n v="3173638.38"/>
    <n v="1315631.25"/>
    <n v="1858007.13"/>
    <n v="-13033.05"/>
    <n v="-67215.61"/>
    <n v="22273.23"/>
    <n v="-57975.43"/>
  </r>
  <r>
    <n v="42"/>
    <d v="2022-05-26T00:00:00"/>
    <x v="1"/>
    <n v="2"/>
    <s v="May"/>
    <n v="5"/>
    <x v="1"/>
    <x v="0"/>
    <s v="Service Revenue"/>
    <x v="4"/>
    <n v="179642.36"/>
    <n v="130849.55"/>
    <n v="48792.81"/>
    <n v="9767.67"/>
    <n v="39025.14"/>
    <n v="21.72"/>
    <n v="4003573.73"/>
    <n v="1230102.81"/>
    <n v="2773470.92"/>
    <n v="25388.71"/>
    <n v="1406.41"/>
    <n v="9398.15"/>
    <n v="36193.269999999997"/>
  </r>
  <r>
    <n v="492"/>
    <d v="2022-05-27T00:00:00"/>
    <x v="1"/>
    <n v="2"/>
    <s v="May"/>
    <n v="5"/>
    <x v="1"/>
    <x v="1"/>
    <s v="Consulting"/>
    <x v="1"/>
    <n v="103197.95"/>
    <n v="56399.15"/>
    <n v="46798.8"/>
    <n v="3816.2"/>
    <n v="42982.6"/>
    <n v="41.65"/>
    <n v="3417338.87"/>
    <n v="1552967.03"/>
    <n v="1864371.84"/>
    <n v="48624.03"/>
    <n v="26696.85"/>
    <n v="17119.919999999998"/>
    <n v="92440.8"/>
  </r>
  <r>
    <n v="565"/>
    <d v="2022-05-28T00:00:00"/>
    <x v="1"/>
    <n v="2"/>
    <s v="May"/>
    <n v="5"/>
    <x v="4"/>
    <x v="3"/>
    <s v="Other Income"/>
    <x v="2"/>
    <n v="159120.66"/>
    <n v="107096.66"/>
    <n v="52024"/>
    <n v="10596.31"/>
    <n v="41427.69"/>
    <n v="26.04"/>
    <n v="1018201.04"/>
    <n v="494082.49"/>
    <n v="524118.55"/>
    <n v="64784.95"/>
    <n v="-49928.72"/>
    <n v="48015.47"/>
    <n v="62871.7"/>
  </r>
  <r>
    <n v="432"/>
    <d v="2022-06-02T00:00:00"/>
    <x v="1"/>
    <n v="2"/>
    <s v="June"/>
    <n v="6"/>
    <x v="2"/>
    <x v="0"/>
    <s v="Other Income"/>
    <x v="3"/>
    <n v="26082.25"/>
    <n v="15630.78"/>
    <n v="10451.469999999999"/>
    <n v="1253.22"/>
    <n v="9198.25"/>
    <n v="35.270000000000003"/>
    <n v="4184911.72"/>
    <n v="1610907.46"/>
    <n v="2574004.2599999998"/>
    <n v="45400.15"/>
    <n v="-69940.210000000006"/>
    <n v="-9218.08"/>
    <n v="-33758.14"/>
  </r>
  <r>
    <n v="126"/>
    <d v="2022-06-05T00:00:00"/>
    <x v="1"/>
    <n v="2"/>
    <s v="June"/>
    <n v="6"/>
    <x v="5"/>
    <x v="0"/>
    <s v="Other Income"/>
    <x v="6"/>
    <n v="112156.01"/>
    <n v="90209.47"/>
    <n v="21946.54"/>
    <n v="2409.7600000000002"/>
    <n v="19536.78"/>
    <n v="17.420000000000002"/>
    <n v="3605022.01"/>
    <n v="1191003.6499999999"/>
    <n v="2414018.36"/>
    <n v="32402.99"/>
    <n v="-60332.36"/>
    <n v="5037.09"/>
    <n v="-22892.28"/>
  </r>
  <r>
    <n v="197"/>
    <d v="2022-06-09T00:00:00"/>
    <x v="1"/>
    <n v="2"/>
    <s v="June"/>
    <n v="6"/>
    <x v="2"/>
    <x v="1"/>
    <s v="Product Sales"/>
    <x v="3"/>
    <n v="43686.55"/>
    <n v="34246.22"/>
    <n v="9440.33"/>
    <n v="861.86"/>
    <n v="8578.4699999999993"/>
    <n v="19.64"/>
    <n v="2902853.63"/>
    <n v="890754.71"/>
    <n v="2012098.92"/>
    <n v="-20485"/>
    <n v="-27796.57"/>
    <n v="-10495.93"/>
    <n v="-58777.5"/>
  </r>
  <r>
    <n v="483"/>
    <d v="2022-06-09T00:00:00"/>
    <x v="1"/>
    <n v="2"/>
    <s v="June"/>
    <n v="6"/>
    <x v="4"/>
    <x v="1"/>
    <s v="Consulting"/>
    <x v="6"/>
    <n v="123566.17"/>
    <n v="90619.88"/>
    <n v="32946.29"/>
    <n v="3079.37"/>
    <n v="29866.92"/>
    <n v="24.17"/>
    <n v="711762.71"/>
    <n v="183477.64"/>
    <n v="528285.06999999995"/>
    <n v="14970.44"/>
    <n v="-28559.16"/>
    <n v="53582.61"/>
    <n v="39993.89"/>
  </r>
  <r>
    <n v="480"/>
    <d v="2022-06-22T00:00:00"/>
    <x v="1"/>
    <n v="2"/>
    <s v="June"/>
    <n v="6"/>
    <x v="4"/>
    <x v="3"/>
    <s v="Product Sales"/>
    <x v="2"/>
    <n v="59210.45"/>
    <n v="30115.96"/>
    <n v="29094.49"/>
    <n v="2635.23"/>
    <n v="26459.26"/>
    <n v="44.69"/>
    <n v="4202163.1500000004"/>
    <n v="1573931.87"/>
    <n v="2628231.2799999998"/>
    <n v="28595.01"/>
    <n v="-19724.98"/>
    <n v="43945.32"/>
    <n v="52815.35"/>
  </r>
  <r>
    <n v="195"/>
    <d v="2022-06-25T00:00:00"/>
    <x v="1"/>
    <n v="2"/>
    <s v="June"/>
    <n v="6"/>
    <x v="4"/>
    <x v="1"/>
    <s v="Product Sales"/>
    <x v="3"/>
    <n v="128120.28"/>
    <n v="95594.55"/>
    <n v="32525.73"/>
    <n v="6266.18"/>
    <n v="26259.55"/>
    <n v="20.5"/>
    <n v="915281.56"/>
    <n v="447141.23"/>
    <n v="468140.33"/>
    <n v="40226.239999999998"/>
    <n v="20032.13"/>
    <n v="423.97"/>
    <n v="60682.34"/>
  </r>
  <r>
    <n v="421"/>
    <d v="2022-07-01T00:00:00"/>
    <x v="1"/>
    <n v="3"/>
    <s v="July"/>
    <n v="7"/>
    <x v="4"/>
    <x v="2"/>
    <s v="Consulting"/>
    <x v="4"/>
    <n v="154648.54"/>
    <n v="101000.43"/>
    <n v="53648.11"/>
    <n v="6017.35"/>
    <n v="47630.76"/>
    <n v="30.8"/>
    <n v="3741727.99"/>
    <n v="1700411.28"/>
    <n v="2041316.71"/>
    <n v="65975.8"/>
    <n v="-23910.17"/>
    <n v="42870.9"/>
    <n v="84936.53"/>
  </r>
  <r>
    <n v="318"/>
    <d v="2022-07-05T00:00:00"/>
    <x v="1"/>
    <n v="3"/>
    <s v="July"/>
    <n v="7"/>
    <x v="0"/>
    <x v="3"/>
    <s v="Consulting"/>
    <x v="6"/>
    <n v="159788.94"/>
    <n v="95717.9"/>
    <n v="64071.040000000001"/>
    <n v="15693.56"/>
    <n v="48377.48"/>
    <n v="30.28"/>
    <n v="4695452.41"/>
    <n v="2566727.0299999998"/>
    <n v="2128725.38"/>
    <n v="40730.75"/>
    <n v="-56834.64"/>
    <n v="45470.35"/>
    <n v="29366.46"/>
  </r>
  <r>
    <n v="205"/>
    <d v="2022-07-11T00:00:00"/>
    <x v="1"/>
    <n v="3"/>
    <s v="July"/>
    <n v="7"/>
    <x v="0"/>
    <x v="1"/>
    <s v="Service Revenue"/>
    <x v="1"/>
    <n v="108918.18"/>
    <n v="55225.18"/>
    <n v="53693"/>
    <n v="9349.61"/>
    <n v="44343.39"/>
    <n v="40.71"/>
    <n v="2937671.66"/>
    <n v="1629704.86"/>
    <n v="1307966.8"/>
    <n v="81035.39"/>
    <n v="-25955.86"/>
    <n v="-9766.68"/>
    <n v="45312.85"/>
  </r>
  <r>
    <n v="571"/>
    <d v="2022-07-14T00:00:00"/>
    <x v="1"/>
    <n v="3"/>
    <s v="July"/>
    <n v="7"/>
    <x v="4"/>
    <x v="3"/>
    <s v="Service Revenue"/>
    <x v="1"/>
    <n v="149418.1"/>
    <n v="110804.43"/>
    <n v="38613.67"/>
    <n v="5040.1000000000004"/>
    <n v="33573.57"/>
    <n v="22.47"/>
    <n v="1110319.77"/>
    <n v="342257.69"/>
    <n v="768062.08"/>
    <n v="59368.1"/>
    <n v="-5719.34"/>
    <n v="38274.57"/>
    <n v="91923.33"/>
  </r>
  <r>
    <n v="403"/>
    <d v="2022-07-17T00:00:00"/>
    <x v="1"/>
    <n v="3"/>
    <s v="July"/>
    <n v="7"/>
    <x v="2"/>
    <x v="0"/>
    <s v="Product Sales"/>
    <x v="3"/>
    <n v="88408.2"/>
    <n v="51375.73"/>
    <n v="37032.47"/>
    <n v="4869.07"/>
    <n v="32163.4"/>
    <n v="36.380000000000003"/>
    <n v="3788958.3"/>
    <n v="2009247.49"/>
    <n v="1779710.81"/>
    <n v="49285.01"/>
    <n v="23866.48"/>
    <n v="-5014.5600000000004"/>
    <n v="68136.929999999993"/>
  </r>
  <r>
    <n v="52"/>
    <d v="2022-07-17T00:00:00"/>
    <x v="1"/>
    <n v="3"/>
    <s v="July"/>
    <n v="7"/>
    <x v="4"/>
    <x v="2"/>
    <s v="Service Revenue"/>
    <x v="2"/>
    <n v="95259.77"/>
    <n v="61349.62"/>
    <n v="33910.15"/>
    <n v="5253.69"/>
    <n v="28656.46"/>
    <n v="30.08"/>
    <n v="2303433.77"/>
    <n v="1091496.22"/>
    <n v="1211937.55"/>
    <n v="11075.68"/>
    <n v="-51807.19"/>
    <n v="46178.559999999998"/>
    <n v="5447.05"/>
  </r>
  <r>
    <n v="185"/>
    <d v="2022-07-18T00:00:00"/>
    <x v="1"/>
    <n v="3"/>
    <s v="July"/>
    <n v="7"/>
    <x v="0"/>
    <x v="3"/>
    <s v="Product Sales"/>
    <x v="4"/>
    <n v="138188.15"/>
    <n v="92801.51"/>
    <n v="45386.64"/>
    <n v="4128.53"/>
    <n v="41258.11"/>
    <n v="29.86"/>
    <n v="4447577.5599999996"/>
    <n v="2672570.2799999998"/>
    <n v="1775007.28"/>
    <n v="37690.75"/>
    <n v="-35959.42"/>
    <n v="58902.84"/>
    <n v="60634.17"/>
  </r>
  <r>
    <n v="251"/>
    <d v="2022-07-18T00:00:00"/>
    <x v="1"/>
    <n v="3"/>
    <s v="July"/>
    <n v="7"/>
    <x v="3"/>
    <x v="1"/>
    <s v="Consulting"/>
    <x v="6"/>
    <n v="175827.12"/>
    <n v="93833.02"/>
    <n v="81994.100000000006"/>
    <n v="10799.75"/>
    <n v="71194.350000000006"/>
    <n v="40.49"/>
    <n v="1867741.31"/>
    <n v="639078.81000000006"/>
    <n v="1228662.5"/>
    <n v="41312.26"/>
    <n v="2934.48"/>
    <n v="56684.55"/>
    <n v="100931.29"/>
  </r>
  <r>
    <n v="71"/>
    <d v="2022-07-19T00:00:00"/>
    <x v="1"/>
    <n v="3"/>
    <s v="July"/>
    <n v="7"/>
    <x v="0"/>
    <x v="0"/>
    <s v="Service Revenue"/>
    <x v="1"/>
    <n v="87299.29"/>
    <n v="54785.02"/>
    <n v="32514.27"/>
    <n v="6069.63"/>
    <n v="26444.639999999999"/>
    <n v="30.29"/>
    <n v="4431547.01"/>
    <n v="2852291.61"/>
    <n v="1579255.4"/>
    <n v="57906.51"/>
    <n v="-28223.32"/>
    <n v="2135.6999999999998"/>
    <n v="31818.89"/>
  </r>
  <r>
    <n v="89"/>
    <d v="2022-07-20T00:00:00"/>
    <x v="1"/>
    <n v="3"/>
    <s v="July"/>
    <n v="7"/>
    <x v="5"/>
    <x v="3"/>
    <s v="Consulting"/>
    <x v="6"/>
    <n v="56573.69"/>
    <n v="27366.44"/>
    <n v="29207.25"/>
    <n v="3099.53"/>
    <n v="26107.72"/>
    <n v="46.15"/>
    <n v="2541621.36"/>
    <n v="1174589.3600000001"/>
    <n v="1367032"/>
    <n v="-2463.33"/>
    <n v="9679.7800000000007"/>
    <n v="-10583.2"/>
    <n v="-3366.75"/>
  </r>
  <r>
    <n v="457"/>
    <d v="2022-07-20T00:00:00"/>
    <x v="1"/>
    <n v="3"/>
    <s v="July"/>
    <n v="7"/>
    <x v="5"/>
    <x v="3"/>
    <s v="Product Sales"/>
    <x v="2"/>
    <n v="106776.14"/>
    <n v="58277.84"/>
    <n v="48498.3"/>
    <n v="4315.3999999999996"/>
    <n v="44182.9"/>
    <n v="41.38"/>
    <n v="3767381.83"/>
    <n v="1124643.3400000001"/>
    <n v="2642738.4900000002"/>
    <n v="38404.910000000003"/>
    <n v="-16752.91"/>
    <n v="16441.66"/>
    <n v="38093.660000000003"/>
  </r>
  <r>
    <n v="458"/>
    <d v="2022-07-24T00:00:00"/>
    <x v="1"/>
    <n v="3"/>
    <s v="July"/>
    <n v="7"/>
    <x v="4"/>
    <x v="1"/>
    <s v="Consulting"/>
    <x v="1"/>
    <n v="83859.3"/>
    <n v="56886.95"/>
    <n v="26972.35"/>
    <n v="6604.7"/>
    <n v="20367.650000000001"/>
    <n v="24.29"/>
    <n v="3774340.12"/>
    <n v="2336473.1800000002"/>
    <n v="1437866.94"/>
    <n v="51344.61"/>
    <n v="-10828.3"/>
    <n v="-20797.66"/>
    <n v="19718.650000000001"/>
  </r>
  <r>
    <n v="512"/>
    <d v="2022-07-24T00:00:00"/>
    <x v="1"/>
    <n v="3"/>
    <s v="July"/>
    <n v="7"/>
    <x v="2"/>
    <x v="1"/>
    <s v="Service Revenue"/>
    <x v="5"/>
    <n v="158041.22"/>
    <n v="98228.97"/>
    <n v="59812.25"/>
    <n v="12759.52"/>
    <n v="47052.73"/>
    <n v="29.77"/>
    <n v="4760960.88"/>
    <n v="1714269.88"/>
    <n v="3046691"/>
    <n v="48889.56"/>
    <n v="23147.9"/>
    <n v="-6176.9"/>
    <n v="65860.56"/>
  </r>
  <r>
    <n v="507"/>
    <d v="2022-07-29T00:00:00"/>
    <x v="1"/>
    <n v="3"/>
    <s v="July"/>
    <n v="7"/>
    <x v="0"/>
    <x v="2"/>
    <s v="Other Income"/>
    <x v="5"/>
    <n v="40998.58"/>
    <n v="27324.04"/>
    <n v="13674.54"/>
    <n v="2229.66"/>
    <n v="11444.88"/>
    <n v="27.92"/>
    <n v="2858883.22"/>
    <n v="1477396.99"/>
    <n v="1381486.23"/>
    <n v="2816.41"/>
    <n v="21066.5"/>
    <n v="3567.21"/>
    <n v="27450.12"/>
  </r>
  <r>
    <n v="203"/>
    <d v="2022-08-01T00:00:00"/>
    <x v="1"/>
    <n v="3"/>
    <s v="August"/>
    <n v="8"/>
    <x v="1"/>
    <x v="0"/>
    <s v="Product Sales"/>
    <x v="2"/>
    <n v="57373.93"/>
    <n v="45468.03"/>
    <n v="11905.9"/>
    <n v="1790.71"/>
    <n v="10115.19"/>
    <n v="17.63"/>
    <n v="2279454.21"/>
    <n v="855439.28"/>
    <n v="1424014.93"/>
    <n v="-8119.86"/>
    <n v="-21214.880000000001"/>
    <n v="-26995.22"/>
    <n v="-56329.96"/>
  </r>
  <r>
    <n v="580"/>
    <d v="2022-08-04T00:00:00"/>
    <x v="1"/>
    <n v="3"/>
    <s v="August"/>
    <n v="8"/>
    <x v="0"/>
    <x v="0"/>
    <s v="Service Revenue"/>
    <x v="1"/>
    <n v="155770.48000000001"/>
    <n v="81332.259999999995"/>
    <n v="74438.22"/>
    <n v="16418.650000000001"/>
    <n v="58019.57"/>
    <n v="37.25"/>
    <n v="3031949.4"/>
    <n v="1682352.94"/>
    <n v="1349596.46"/>
    <n v="85108.160000000003"/>
    <n v="-49248.85"/>
    <n v="16881.27"/>
    <n v="52740.58"/>
  </r>
  <r>
    <n v="358"/>
    <d v="2022-08-10T00:00:00"/>
    <x v="1"/>
    <n v="3"/>
    <s v="August"/>
    <n v="8"/>
    <x v="5"/>
    <x v="1"/>
    <s v="Other Income"/>
    <x v="1"/>
    <n v="33785.47"/>
    <n v="15636.89"/>
    <n v="18148.580000000002"/>
    <n v="2661.03"/>
    <n v="15487.55"/>
    <n v="45.84"/>
    <n v="3637236.61"/>
    <n v="1190737.2"/>
    <n v="2446499.41"/>
    <n v="36807.910000000003"/>
    <n v="-44017.19"/>
    <n v="48608.61"/>
    <n v="41399.33"/>
  </r>
  <r>
    <n v="134"/>
    <d v="2022-08-16T00:00:00"/>
    <x v="1"/>
    <n v="3"/>
    <s v="August"/>
    <n v="8"/>
    <x v="0"/>
    <x v="1"/>
    <s v="Service Revenue"/>
    <x v="2"/>
    <n v="160796.29999999999"/>
    <n v="88883.12"/>
    <n v="71913.179999999993"/>
    <n v="16162.22"/>
    <n v="55750.96"/>
    <n v="34.67"/>
    <n v="501496.28"/>
    <n v="128922.22"/>
    <n v="372574.06"/>
    <n v="73955.210000000006"/>
    <n v="-33520.18"/>
    <n v="-1353.92"/>
    <n v="39081.11"/>
  </r>
  <r>
    <n v="65"/>
    <d v="2022-08-24T00:00:00"/>
    <x v="1"/>
    <n v="3"/>
    <s v="August"/>
    <n v="8"/>
    <x v="0"/>
    <x v="0"/>
    <s v="Consulting"/>
    <x v="5"/>
    <n v="39195.22"/>
    <n v="30940.94"/>
    <n v="8254.2800000000007"/>
    <n v="852.33"/>
    <n v="7401.95"/>
    <n v="18.88"/>
    <n v="4776068.09"/>
    <n v="2046078.6"/>
    <n v="2729989.49"/>
    <n v="-7787.42"/>
    <n v="-15809.91"/>
    <n v="47294.58"/>
    <n v="23697.25"/>
  </r>
  <r>
    <n v="441"/>
    <d v="2022-08-30T00:00:00"/>
    <x v="1"/>
    <n v="3"/>
    <s v="August"/>
    <n v="8"/>
    <x v="5"/>
    <x v="0"/>
    <s v="Service Revenue"/>
    <x v="6"/>
    <n v="150281.57"/>
    <n v="71465.45"/>
    <n v="78816.12"/>
    <n v="10791.04"/>
    <n v="68025.08"/>
    <n v="45.27"/>
    <n v="1911664.06"/>
    <n v="963972.14"/>
    <n v="947691.92"/>
    <n v="66501.7"/>
    <n v="-55149.32"/>
    <n v="19646.71"/>
    <n v="30999.09"/>
  </r>
  <r>
    <n v="297"/>
    <d v="2022-09-01T00:00:00"/>
    <x v="1"/>
    <n v="3"/>
    <s v="September"/>
    <n v="9"/>
    <x v="0"/>
    <x v="1"/>
    <s v="Service Revenue"/>
    <x v="4"/>
    <n v="152355.43"/>
    <n v="94576.69"/>
    <n v="57778.74"/>
    <n v="14280.71"/>
    <n v="43498.03"/>
    <n v="28.55"/>
    <n v="4040187.53"/>
    <n v="2260343.62"/>
    <n v="1779843.91"/>
    <n v="73325.119999999995"/>
    <n v="-54939.19"/>
    <n v="-18276.91"/>
    <n v="109.02"/>
  </r>
  <r>
    <n v="163"/>
    <d v="2022-09-05T00:00:00"/>
    <x v="1"/>
    <n v="3"/>
    <s v="September"/>
    <n v="9"/>
    <x v="4"/>
    <x v="2"/>
    <s v="Service Revenue"/>
    <x v="2"/>
    <n v="165469.46"/>
    <n v="89739.4"/>
    <n v="75730.06"/>
    <n v="9559.52"/>
    <n v="66170.539999999994"/>
    <n v="39.99"/>
    <n v="3917292.18"/>
    <n v="1684027.99"/>
    <n v="2233264.19"/>
    <n v="98307.38"/>
    <n v="-63463.38"/>
    <n v="8757.1200000000008"/>
    <n v="43601.120000000003"/>
  </r>
  <r>
    <n v="522"/>
    <d v="2022-09-05T00:00:00"/>
    <x v="1"/>
    <n v="3"/>
    <s v="September"/>
    <n v="9"/>
    <x v="1"/>
    <x v="1"/>
    <s v="Other Income"/>
    <x v="0"/>
    <n v="59453.83"/>
    <n v="31332.12"/>
    <n v="28121.71"/>
    <n v="5853.04"/>
    <n v="22268.67"/>
    <n v="37.46"/>
    <n v="1640207.29"/>
    <n v="997296.26"/>
    <n v="642911.03"/>
    <n v="38183"/>
    <n v="-34922.239999999998"/>
    <n v="43269.37"/>
    <n v="46530.13"/>
  </r>
  <r>
    <n v="332"/>
    <d v="2022-09-16T00:00:00"/>
    <x v="1"/>
    <n v="3"/>
    <s v="September"/>
    <n v="9"/>
    <x v="1"/>
    <x v="2"/>
    <s v="Other Income"/>
    <x v="3"/>
    <n v="42793.52"/>
    <n v="34164.94"/>
    <n v="8628.58"/>
    <n v="1840.61"/>
    <n v="6787.97"/>
    <n v="15.86"/>
    <n v="2580760.2999999998"/>
    <n v="1538094.54"/>
    <n v="1042665.76"/>
    <n v="-3255.37"/>
    <n v="1712.06"/>
    <n v="45613.25"/>
    <n v="44069.94"/>
  </r>
  <r>
    <n v="462"/>
    <d v="2022-09-18T00:00:00"/>
    <x v="1"/>
    <n v="3"/>
    <s v="September"/>
    <n v="9"/>
    <x v="1"/>
    <x v="1"/>
    <s v="Service Revenue"/>
    <x v="4"/>
    <n v="105291.62"/>
    <n v="71308.63"/>
    <n v="33982.99"/>
    <n v="4085.56"/>
    <n v="29897.43"/>
    <n v="28.39"/>
    <n v="2675741.38"/>
    <n v="1128252.57"/>
    <n v="1547488.81"/>
    <n v="5889.1"/>
    <n v="-59383.96"/>
    <n v="43747.25"/>
    <n v="-9747.61"/>
  </r>
  <r>
    <n v="227"/>
    <d v="2022-09-20T00:00:00"/>
    <x v="1"/>
    <n v="3"/>
    <s v="September"/>
    <n v="9"/>
    <x v="5"/>
    <x v="2"/>
    <s v="Product Sales"/>
    <x v="6"/>
    <n v="58439.81"/>
    <n v="40954.089999999997"/>
    <n v="17485.72"/>
    <n v="3205.44"/>
    <n v="14280.28"/>
    <n v="24.44"/>
    <n v="1828856.65"/>
    <n v="557143.55000000005"/>
    <n v="1271713.1000000001"/>
    <n v="36411.46"/>
    <n v="3859.75"/>
    <n v="-8437.27"/>
    <n v="31833.94"/>
  </r>
  <r>
    <n v="357"/>
    <d v="2022-09-20T00:00:00"/>
    <x v="1"/>
    <n v="3"/>
    <s v="September"/>
    <n v="9"/>
    <x v="3"/>
    <x v="2"/>
    <s v="Other Income"/>
    <x v="2"/>
    <n v="50011.94"/>
    <n v="33089.82"/>
    <n v="16922.12"/>
    <n v="3670.81"/>
    <n v="13251.31"/>
    <n v="26.5"/>
    <n v="3920724.18"/>
    <n v="1221540.68"/>
    <n v="2699183.5"/>
    <n v="-4808.7299999999996"/>
    <n v="-43182.559999999998"/>
    <n v="-3892.53"/>
    <n v="-51883.82"/>
  </r>
  <r>
    <n v="226"/>
    <d v="2022-09-25T00:00:00"/>
    <x v="1"/>
    <n v="3"/>
    <s v="September"/>
    <n v="9"/>
    <x v="4"/>
    <x v="3"/>
    <s v="Other Income"/>
    <x v="4"/>
    <n v="82321.05"/>
    <n v="38639.14"/>
    <n v="43681.91"/>
    <n v="9194.4500000000007"/>
    <n v="34487.46"/>
    <n v="41.89"/>
    <n v="2374269.94"/>
    <n v="1374398.28"/>
    <n v="999871.66"/>
    <n v="72515.3"/>
    <n v="-48800.59"/>
    <n v="25735.35"/>
    <n v="49450.06"/>
  </r>
  <r>
    <n v="564"/>
    <d v="2022-09-26T00:00:00"/>
    <x v="1"/>
    <n v="3"/>
    <s v="September"/>
    <n v="9"/>
    <x v="4"/>
    <x v="1"/>
    <s v="Consulting"/>
    <x v="3"/>
    <n v="166777.66"/>
    <n v="105505.41"/>
    <n v="61272.25"/>
    <n v="9626.32"/>
    <n v="51645.93"/>
    <n v="30.97"/>
    <n v="671221.3"/>
    <n v="363436"/>
    <n v="307785.3"/>
    <n v="63891.38"/>
    <n v="-49791.91"/>
    <n v="-28992.62"/>
    <n v="-14893.15"/>
  </r>
  <r>
    <n v="544"/>
    <d v="2022-09-28T00:00:00"/>
    <x v="1"/>
    <n v="3"/>
    <s v="September"/>
    <n v="9"/>
    <x v="4"/>
    <x v="1"/>
    <s v="Service Revenue"/>
    <x v="3"/>
    <n v="169704.97"/>
    <n v="134926.10999999999"/>
    <n v="34778.86"/>
    <n v="3522.72"/>
    <n v="31256.14"/>
    <n v="18.420000000000002"/>
    <n v="2219242.4700000002"/>
    <n v="579869.19999999995"/>
    <n v="1639373.27"/>
    <n v="69669.37"/>
    <n v="-34124.42"/>
    <n v="23111.7"/>
    <n v="58656.65"/>
  </r>
  <r>
    <n v="390"/>
    <d v="2022-10-02T00:00:00"/>
    <x v="1"/>
    <n v="4"/>
    <s v="October"/>
    <n v="10"/>
    <x v="2"/>
    <x v="3"/>
    <s v="Product Sales"/>
    <x v="4"/>
    <n v="164872.51"/>
    <n v="97569.85"/>
    <n v="67302.66"/>
    <n v="7859.37"/>
    <n v="59443.29"/>
    <n v="36.049999999999997"/>
    <n v="2491598.06"/>
    <n v="671099.69"/>
    <n v="1820498.37"/>
    <n v="95082.3"/>
    <n v="12634.08"/>
    <n v="18800.05"/>
    <n v="126516.43"/>
  </r>
  <r>
    <n v="321"/>
    <d v="2022-10-03T00:00:00"/>
    <x v="1"/>
    <n v="4"/>
    <s v="October"/>
    <n v="10"/>
    <x v="0"/>
    <x v="0"/>
    <s v="Other Income"/>
    <x v="2"/>
    <n v="141509.81"/>
    <n v="96323.86"/>
    <n v="45185.95"/>
    <n v="8226"/>
    <n v="36959.949999999997"/>
    <n v="26.12"/>
    <n v="740815.08"/>
    <n v="296779.5"/>
    <n v="444035.58"/>
    <n v="25524.41"/>
    <n v="-43462.99"/>
    <n v="15433.75"/>
    <n v="-2504.83"/>
  </r>
  <r>
    <n v="264"/>
    <d v="2022-10-04T00:00:00"/>
    <x v="1"/>
    <n v="4"/>
    <s v="October"/>
    <n v="10"/>
    <x v="1"/>
    <x v="2"/>
    <s v="Product Sales"/>
    <x v="1"/>
    <n v="176957.15"/>
    <n v="84050.39"/>
    <n v="92906.76"/>
    <n v="15624.98"/>
    <n v="77281.78"/>
    <n v="43.67"/>
    <n v="1307141.07"/>
    <n v="834309.74"/>
    <n v="472831.33"/>
    <n v="56346.06"/>
    <n v="-29639.9"/>
    <n v="33788.5"/>
    <n v="60494.66"/>
  </r>
  <r>
    <n v="165"/>
    <d v="2022-10-05T00:00:00"/>
    <x v="1"/>
    <n v="4"/>
    <s v="October"/>
    <n v="10"/>
    <x v="4"/>
    <x v="0"/>
    <s v="Product Sales"/>
    <x v="6"/>
    <n v="147095.51999999999"/>
    <n v="100177.55"/>
    <n v="46917.97"/>
    <n v="7697.45"/>
    <n v="39220.519999999997"/>
    <n v="26.66"/>
    <n v="4907978.78"/>
    <n v="1511588.89"/>
    <n v="3396389.89"/>
    <n v="67232.98"/>
    <n v="-50880.93"/>
    <n v="-6173.69"/>
    <n v="10178.36"/>
  </r>
  <r>
    <n v="208"/>
    <d v="2022-10-08T00:00:00"/>
    <x v="1"/>
    <n v="4"/>
    <s v="October"/>
    <n v="10"/>
    <x v="4"/>
    <x v="1"/>
    <s v="Other Income"/>
    <x v="5"/>
    <n v="109168.81"/>
    <n v="58325.34"/>
    <n v="50843.47"/>
    <n v="12399.95"/>
    <n v="38443.519999999997"/>
    <n v="35.21"/>
    <n v="4592545.75"/>
    <n v="2474726.7799999998"/>
    <n v="2117818.9700000002"/>
    <n v="51114.45"/>
    <n v="16996.919999999998"/>
    <n v="-26934.77"/>
    <n v="41176.6"/>
  </r>
  <r>
    <n v="59"/>
    <d v="2022-10-09T00:00:00"/>
    <x v="1"/>
    <n v="4"/>
    <s v="October"/>
    <n v="10"/>
    <x v="3"/>
    <x v="3"/>
    <s v="Other Income"/>
    <x v="3"/>
    <n v="132139.39000000001"/>
    <n v="92864.66"/>
    <n v="39274.730000000003"/>
    <n v="8634.1299999999992"/>
    <n v="30640.6"/>
    <n v="23.19"/>
    <n v="2883477.55"/>
    <n v="1660945.85"/>
    <n v="1222531.7"/>
    <n v="40487.86"/>
    <n v="-63282.46"/>
    <n v="524.80999999999995"/>
    <n v="-22269.79"/>
  </r>
  <r>
    <n v="129"/>
    <d v="2022-10-10T00:00:00"/>
    <x v="1"/>
    <n v="4"/>
    <s v="October"/>
    <n v="10"/>
    <x v="1"/>
    <x v="1"/>
    <s v="Service Revenue"/>
    <x v="0"/>
    <n v="77959.55"/>
    <n v="46069.15"/>
    <n v="31890.400000000001"/>
    <n v="4428.7700000000004"/>
    <n v="27461.63"/>
    <n v="35.229999999999997"/>
    <n v="1575748.99"/>
    <n v="715216.23"/>
    <n v="860532.76"/>
    <n v="63484.52"/>
    <n v="-42029.65"/>
    <n v="54238.7"/>
    <n v="75693.570000000007"/>
  </r>
  <r>
    <n v="235"/>
    <d v="2022-10-11T00:00:00"/>
    <x v="1"/>
    <n v="4"/>
    <s v="October"/>
    <n v="10"/>
    <x v="2"/>
    <x v="1"/>
    <s v="Other Income"/>
    <x v="4"/>
    <n v="146104.89000000001"/>
    <n v="97009.32"/>
    <n v="49095.57"/>
    <n v="5154.2299999999996"/>
    <n v="43941.34"/>
    <n v="30.08"/>
    <n v="4150056.96"/>
    <n v="2093213.54"/>
    <n v="2056843.42"/>
    <n v="44994.6"/>
    <n v="-2586.9699999999998"/>
    <n v="-14009.5"/>
    <n v="28398.13"/>
  </r>
  <r>
    <n v="494"/>
    <d v="2022-10-16T00:00:00"/>
    <x v="1"/>
    <n v="4"/>
    <s v="October"/>
    <n v="10"/>
    <x v="3"/>
    <x v="3"/>
    <s v="Consulting"/>
    <x v="3"/>
    <n v="117937.58"/>
    <n v="77087.539999999994"/>
    <n v="40850.04"/>
    <n v="6837.17"/>
    <n v="34012.870000000003"/>
    <n v="28.84"/>
    <n v="3605554.03"/>
    <n v="2109176.41"/>
    <n v="1496377.62"/>
    <n v="29852.04"/>
    <n v="18901.22"/>
    <n v="-23936.639999999999"/>
    <n v="24816.62"/>
  </r>
  <r>
    <n v="541"/>
    <d v="2022-10-18T00:00:00"/>
    <x v="1"/>
    <n v="4"/>
    <s v="October"/>
    <n v="10"/>
    <x v="1"/>
    <x v="2"/>
    <s v="Service Revenue"/>
    <x v="0"/>
    <n v="166317.82"/>
    <n v="118047.49"/>
    <n v="48270.33"/>
    <n v="8025.24"/>
    <n v="40245.089999999997"/>
    <n v="24.2"/>
    <n v="2486767.65"/>
    <n v="751672.9"/>
    <n v="1735094.75"/>
    <n v="33525.040000000001"/>
    <n v="16895.91"/>
    <n v="50445.279999999999"/>
    <n v="100866.23"/>
  </r>
  <r>
    <n v="548"/>
    <d v="2022-10-19T00:00:00"/>
    <x v="1"/>
    <n v="4"/>
    <s v="October"/>
    <n v="10"/>
    <x v="0"/>
    <x v="1"/>
    <s v="Service Revenue"/>
    <x v="0"/>
    <n v="147462.9"/>
    <n v="99983.91"/>
    <n v="47478.99"/>
    <n v="4160.41"/>
    <n v="43318.58"/>
    <n v="29.38"/>
    <n v="3301461.46"/>
    <n v="1233317.3500000001"/>
    <n v="2068144.11"/>
    <n v="42816.59"/>
    <n v="6973.14"/>
    <n v="41093.519999999997"/>
    <n v="90883.25"/>
  </r>
  <r>
    <n v="419"/>
    <d v="2022-10-21T00:00:00"/>
    <x v="1"/>
    <n v="4"/>
    <s v="October"/>
    <n v="10"/>
    <x v="0"/>
    <x v="0"/>
    <s v="Product Sales"/>
    <x v="3"/>
    <n v="38059.58"/>
    <n v="26739.96"/>
    <n v="11319.62"/>
    <n v="1358.99"/>
    <n v="9960.6299999999992"/>
    <n v="26.17"/>
    <n v="4746083.6500000004"/>
    <n v="2840534.15"/>
    <n v="1905549.5"/>
    <n v="3115.9"/>
    <n v="8321.5499999999993"/>
    <n v="40324.49"/>
    <n v="51761.94"/>
  </r>
  <r>
    <n v="305"/>
    <d v="2022-10-22T00:00:00"/>
    <x v="1"/>
    <n v="4"/>
    <s v="October"/>
    <n v="10"/>
    <x v="3"/>
    <x v="3"/>
    <s v="Service Revenue"/>
    <x v="3"/>
    <n v="124859.79"/>
    <n v="101195.32"/>
    <n v="23664.47"/>
    <n v="2173.96"/>
    <n v="21490.51"/>
    <n v="17.21"/>
    <n v="2996094.69"/>
    <n v="1645208.74"/>
    <n v="1350885.95"/>
    <n v="56311.199999999997"/>
    <n v="-28617.25"/>
    <n v="-19583.34"/>
    <n v="8110.61"/>
  </r>
  <r>
    <n v="241"/>
    <d v="2022-10-26T00:00:00"/>
    <x v="1"/>
    <n v="4"/>
    <s v="October"/>
    <n v="10"/>
    <x v="5"/>
    <x v="2"/>
    <s v="Service Revenue"/>
    <x v="4"/>
    <n v="174893.17"/>
    <n v="104119.8"/>
    <n v="70773.37"/>
    <n v="15939.42"/>
    <n v="54833.95"/>
    <n v="31.35"/>
    <n v="3978900.69"/>
    <n v="1488108.76"/>
    <n v="2490791.9300000002"/>
    <n v="43397.14"/>
    <n v="-24176.53"/>
    <n v="38134.879999999997"/>
    <n v="57355.49"/>
  </r>
  <r>
    <n v="204"/>
    <d v="2022-11-13T00:00:00"/>
    <x v="1"/>
    <n v="4"/>
    <s v="November"/>
    <n v="11"/>
    <x v="2"/>
    <x v="0"/>
    <s v="Other Income"/>
    <x v="4"/>
    <n v="83094.55"/>
    <n v="51965.87"/>
    <n v="31128.68"/>
    <n v="4840.5600000000004"/>
    <n v="26288.12"/>
    <n v="31.64"/>
    <n v="4976860.88"/>
    <n v="2329929.61"/>
    <n v="2646931.27"/>
    <n v="3344.26"/>
    <n v="-9312.27"/>
    <n v="-24841.57"/>
    <n v="-30809.58"/>
  </r>
  <r>
    <n v="516"/>
    <d v="2022-11-13T00:00:00"/>
    <x v="1"/>
    <n v="4"/>
    <s v="November"/>
    <n v="11"/>
    <x v="3"/>
    <x v="0"/>
    <s v="Service Revenue"/>
    <x v="3"/>
    <n v="92896.83"/>
    <n v="53572.32"/>
    <n v="39324.51"/>
    <n v="6799.25"/>
    <n v="32525.26"/>
    <n v="35.01"/>
    <n v="911089.59"/>
    <n v="503521.52"/>
    <n v="407568.07"/>
    <n v="49120.07"/>
    <n v="-51340.99"/>
    <n v="-21176.78"/>
    <n v="-23397.7"/>
  </r>
  <r>
    <n v="240"/>
    <d v="2022-11-15T00:00:00"/>
    <x v="1"/>
    <n v="4"/>
    <s v="November"/>
    <n v="11"/>
    <x v="4"/>
    <x v="1"/>
    <s v="Product Sales"/>
    <x v="2"/>
    <n v="117001.94"/>
    <n v="55814.63"/>
    <n v="61187.31"/>
    <n v="11368.5"/>
    <n v="49818.81"/>
    <n v="42.58"/>
    <n v="4915300.2699999996"/>
    <n v="1602599.54"/>
    <n v="3312700.73"/>
    <n v="83226.42"/>
    <n v="20789.88"/>
    <n v="54370.16"/>
    <n v="158386.46"/>
  </r>
  <r>
    <n v="158"/>
    <d v="2022-11-15T00:00:00"/>
    <x v="1"/>
    <n v="4"/>
    <s v="November"/>
    <n v="11"/>
    <x v="4"/>
    <x v="1"/>
    <s v="Service Revenue"/>
    <x v="3"/>
    <n v="34694.050000000003"/>
    <n v="25899.31"/>
    <n v="8794.74"/>
    <n v="1849.71"/>
    <n v="6945.03"/>
    <n v="20.02"/>
    <n v="3801271.24"/>
    <n v="1405624.21"/>
    <n v="2395647.0299999998"/>
    <n v="-9176.56"/>
    <n v="-6244.67"/>
    <n v="9616.64"/>
    <n v="-5804.59"/>
  </r>
  <r>
    <n v="488"/>
    <d v="2022-11-16T00:00:00"/>
    <x v="1"/>
    <n v="4"/>
    <s v="November"/>
    <n v="11"/>
    <x v="3"/>
    <x v="2"/>
    <s v="Consulting"/>
    <x v="1"/>
    <n v="170334.17"/>
    <n v="119487.85"/>
    <n v="50846.32"/>
    <n v="8996.2800000000007"/>
    <n v="41850.04"/>
    <n v="24.57"/>
    <n v="3245882.04"/>
    <n v="2035001.12"/>
    <n v="1210880.92"/>
    <n v="74906.11"/>
    <n v="-67595.88"/>
    <n v="13413.97"/>
    <n v="20724.2"/>
  </r>
  <r>
    <n v="460"/>
    <d v="2022-11-17T00:00:00"/>
    <x v="1"/>
    <n v="4"/>
    <s v="November"/>
    <n v="11"/>
    <x v="2"/>
    <x v="3"/>
    <s v="Service Revenue"/>
    <x v="4"/>
    <n v="127037.65"/>
    <n v="77741.350000000006"/>
    <n v="49296.3"/>
    <n v="6263.01"/>
    <n v="43033.29"/>
    <n v="33.869999999999997"/>
    <n v="3011770.33"/>
    <n v="1170979.1200000001"/>
    <n v="1840791.21"/>
    <n v="87662.71"/>
    <n v="22264.51"/>
    <n v="10237.18"/>
    <n v="120164.4"/>
  </r>
  <r>
    <n v="50"/>
    <d v="2022-11-18T00:00:00"/>
    <x v="1"/>
    <n v="4"/>
    <s v="November"/>
    <n v="11"/>
    <x v="2"/>
    <x v="2"/>
    <s v="Product Sales"/>
    <x v="4"/>
    <n v="127848.29"/>
    <n v="65953.52"/>
    <n v="61894.77"/>
    <n v="15064.07"/>
    <n v="46830.7"/>
    <n v="36.630000000000003"/>
    <n v="1168982.27"/>
    <n v="486120.87"/>
    <n v="682861.4"/>
    <n v="23658.67"/>
    <n v="29687.43"/>
    <n v="10219.5"/>
    <n v="63565.599999999999"/>
  </r>
  <r>
    <n v="392"/>
    <d v="2022-11-19T00:00:00"/>
    <x v="1"/>
    <n v="4"/>
    <s v="November"/>
    <n v="11"/>
    <x v="0"/>
    <x v="1"/>
    <s v="Consulting"/>
    <x v="0"/>
    <n v="113599.19"/>
    <n v="58888.71"/>
    <n v="54710.48"/>
    <n v="4931.04"/>
    <n v="49779.44"/>
    <n v="43.82"/>
    <n v="3219616.94"/>
    <n v="1788422.86"/>
    <n v="1431194.08"/>
    <n v="61651.55"/>
    <n v="-47322.74"/>
    <n v="26652.2"/>
    <n v="40981.01"/>
  </r>
  <r>
    <n v="590"/>
    <d v="2022-11-28T00:00:00"/>
    <x v="1"/>
    <n v="4"/>
    <s v="November"/>
    <n v="11"/>
    <x v="1"/>
    <x v="3"/>
    <s v="Service Revenue"/>
    <x v="1"/>
    <n v="51919.1"/>
    <n v="36621.83"/>
    <n v="15297.27"/>
    <n v="2902.68"/>
    <n v="12394.59"/>
    <n v="23.87"/>
    <n v="4514264.87"/>
    <n v="2451927.39"/>
    <n v="2062337.48"/>
    <n v="23063.03"/>
    <n v="29183.18"/>
    <n v="-13389.2"/>
    <n v="38857.01"/>
  </r>
  <r>
    <n v="261"/>
    <d v="2022-11-30T00:00:00"/>
    <x v="1"/>
    <n v="4"/>
    <s v="November"/>
    <n v="11"/>
    <x v="3"/>
    <x v="0"/>
    <s v="Product Sales"/>
    <x v="1"/>
    <n v="122338.97"/>
    <n v="66256.179999999993"/>
    <n v="56082.79"/>
    <n v="6038.91"/>
    <n v="50043.88"/>
    <n v="40.909999999999997"/>
    <n v="1341114.98"/>
    <n v="345898.05"/>
    <n v="995216.93"/>
    <n v="51298.45"/>
    <n v="-50857.23"/>
    <n v="1165.55"/>
    <n v="1606.77"/>
  </r>
  <r>
    <n v="443"/>
    <d v="2022-12-01T00:00:00"/>
    <x v="1"/>
    <n v="4"/>
    <s v="December"/>
    <n v="12"/>
    <x v="1"/>
    <x v="0"/>
    <s v="Consulting"/>
    <x v="2"/>
    <n v="98052.78"/>
    <n v="61266.39"/>
    <n v="36786.39"/>
    <n v="5308.21"/>
    <n v="31478.18"/>
    <n v="32.1"/>
    <n v="2827820.67"/>
    <n v="1174232.6200000001"/>
    <n v="1653588.05"/>
    <n v="17425.82"/>
    <n v="-28763.35"/>
    <n v="-32772.31"/>
    <n v="-44109.84"/>
  </r>
  <r>
    <n v="45"/>
    <d v="2022-12-01T00:00:00"/>
    <x v="1"/>
    <n v="4"/>
    <s v="December"/>
    <n v="12"/>
    <x v="0"/>
    <x v="2"/>
    <s v="Product Sales"/>
    <x v="3"/>
    <n v="166337.12"/>
    <n v="83413.570000000007"/>
    <n v="82923.55"/>
    <n v="8054.79"/>
    <n v="74868.759999999995"/>
    <n v="45.01"/>
    <n v="1652069.89"/>
    <n v="892841.73"/>
    <n v="759228.16"/>
    <n v="92305.79"/>
    <n v="-59778.73"/>
    <n v="51875.05"/>
    <n v="84402.11"/>
  </r>
  <r>
    <n v="93"/>
    <d v="2022-12-04T00:00:00"/>
    <x v="1"/>
    <n v="4"/>
    <s v="December"/>
    <n v="12"/>
    <x v="1"/>
    <x v="3"/>
    <s v="Consulting"/>
    <x v="2"/>
    <n v="78632.570000000007"/>
    <n v="57955.96"/>
    <n v="20676.61"/>
    <n v="4962.6000000000004"/>
    <n v="15714.01"/>
    <n v="19.98"/>
    <n v="825873.22"/>
    <n v="382954.84"/>
    <n v="442918.38"/>
    <n v="56316.69"/>
    <n v="-61749.15"/>
    <n v="42451.4"/>
    <n v="37018.94"/>
  </r>
  <r>
    <n v="578"/>
    <d v="2022-12-05T00:00:00"/>
    <x v="1"/>
    <n v="4"/>
    <s v="December"/>
    <n v="12"/>
    <x v="1"/>
    <x v="2"/>
    <s v="Service Revenue"/>
    <x v="4"/>
    <n v="127841"/>
    <n v="97086.01"/>
    <n v="30754.99"/>
    <n v="3586.91"/>
    <n v="27168.080000000002"/>
    <n v="21.25"/>
    <n v="1042168.2"/>
    <n v="615520.03"/>
    <n v="426648.17"/>
    <n v="9697.11"/>
    <n v="27476.01"/>
    <n v="44253.82"/>
    <n v="81426.94"/>
  </r>
  <r>
    <n v="232"/>
    <d v="2022-12-11T00:00:00"/>
    <x v="1"/>
    <n v="4"/>
    <s v="December"/>
    <n v="12"/>
    <x v="2"/>
    <x v="1"/>
    <s v="Product Sales"/>
    <x v="5"/>
    <n v="82619.59"/>
    <n v="37220.19"/>
    <n v="45399.4"/>
    <n v="5945.78"/>
    <n v="39453.620000000003"/>
    <n v="47.75"/>
    <n v="3409064.34"/>
    <n v="2180702.7000000002"/>
    <n v="1228361.6399999999"/>
    <n v="77218.490000000005"/>
    <n v="-67640.5"/>
    <n v="49856.06"/>
    <n v="59434.05"/>
  </r>
  <r>
    <n v="111"/>
    <d v="2022-12-21T00:00:00"/>
    <x v="1"/>
    <n v="4"/>
    <s v="December"/>
    <n v="12"/>
    <x v="3"/>
    <x v="2"/>
    <s v="Service Revenue"/>
    <x v="0"/>
    <n v="176462"/>
    <n v="105975.3"/>
    <n v="70486.7"/>
    <n v="16072.95"/>
    <n v="54413.75"/>
    <n v="30.84"/>
    <n v="4020734.68"/>
    <n v="1917112.45"/>
    <n v="2103622.23"/>
    <n v="83489.69"/>
    <n v="17851.560000000001"/>
    <n v="414.03"/>
    <n v="101755.28"/>
  </r>
  <r>
    <n v="159"/>
    <d v="2022-12-27T00:00:00"/>
    <x v="1"/>
    <n v="4"/>
    <s v="December"/>
    <n v="12"/>
    <x v="2"/>
    <x v="3"/>
    <s v="Service Revenue"/>
    <x v="4"/>
    <n v="155169.35"/>
    <n v="91863.08"/>
    <n v="63306.27"/>
    <n v="11219.03"/>
    <n v="52087.24"/>
    <n v="33.57"/>
    <n v="3144962.12"/>
    <n v="1018308.86"/>
    <n v="2126653.2599999998"/>
    <n v="51066.080000000002"/>
    <n v="-36548.870000000003"/>
    <n v="-37380.33"/>
    <n v="-22863.119999999999"/>
  </r>
  <r>
    <n v="502"/>
    <d v="2022-12-28T00:00:00"/>
    <x v="1"/>
    <n v="4"/>
    <s v="December"/>
    <n v="12"/>
    <x v="2"/>
    <x v="2"/>
    <s v="Service Revenue"/>
    <x v="5"/>
    <n v="177505.49"/>
    <n v="139626.74"/>
    <n v="37878.75"/>
    <n v="8515.31"/>
    <n v="29363.439999999999"/>
    <n v="16.54"/>
    <n v="736584.79"/>
    <n v="214910.51"/>
    <n v="521674.28"/>
    <n v="44882.1"/>
    <n v="-16852.080000000002"/>
    <n v="5796.32"/>
    <n v="33826.339999999997"/>
  </r>
  <r>
    <n v="276"/>
    <d v="2022-12-31T00:00:00"/>
    <x v="1"/>
    <n v="4"/>
    <s v="December"/>
    <n v="12"/>
    <x v="2"/>
    <x v="1"/>
    <s v="Consulting"/>
    <x v="4"/>
    <n v="146690.15"/>
    <n v="98513.11"/>
    <n v="48177.04"/>
    <n v="5501.18"/>
    <n v="42675.86"/>
    <n v="29.09"/>
    <n v="3156046.97"/>
    <n v="1303615.1200000001"/>
    <n v="1852431.85"/>
    <n v="50237.9"/>
    <n v="-67168.87"/>
    <n v="-18997.07"/>
    <n v="-35928.04"/>
  </r>
  <r>
    <n v="95"/>
    <d v="2022-12-31T00:00:00"/>
    <x v="1"/>
    <n v="4"/>
    <s v="December"/>
    <n v="12"/>
    <x v="4"/>
    <x v="2"/>
    <s v="Other Income"/>
    <x v="6"/>
    <n v="120573.71"/>
    <n v="81603"/>
    <n v="38970.71"/>
    <n v="5097.45"/>
    <n v="33873.26"/>
    <n v="28.09"/>
    <n v="4708408.17"/>
    <n v="2961307.11"/>
    <n v="1747101.06"/>
    <n v="53897.63"/>
    <n v="8342.27"/>
    <n v="21225.8"/>
    <n v="83465.7"/>
  </r>
  <r>
    <n v="555"/>
    <d v="2023-01-11T00:00:00"/>
    <x v="2"/>
    <n v="1"/>
    <s v="January"/>
    <n v="1"/>
    <x v="5"/>
    <x v="1"/>
    <s v="Other Income"/>
    <x v="2"/>
    <n v="174279.59"/>
    <n v="137592.26999999999"/>
    <n v="36687.32"/>
    <n v="7703.48"/>
    <n v="28983.84"/>
    <n v="16.63"/>
    <n v="855842.09"/>
    <n v="367157.25"/>
    <n v="488684.84"/>
    <n v="7135.18"/>
    <n v="-68407.97"/>
    <n v="21618.3"/>
    <n v="-39654.49"/>
  </r>
  <r>
    <n v="183"/>
    <d v="2023-01-13T00:00:00"/>
    <x v="2"/>
    <n v="1"/>
    <s v="January"/>
    <n v="1"/>
    <x v="4"/>
    <x v="1"/>
    <s v="Other Income"/>
    <x v="4"/>
    <n v="153036.04999999999"/>
    <n v="108463.79"/>
    <n v="44572.26"/>
    <n v="9926.61"/>
    <n v="34645.65"/>
    <n v="22.64"/>
    <n v="4918094.12"/>
    <n v="2451855.8199999998"/>
    <n v="2466238.2999999998"/>
    <n v="49380.43"/>
    <n v="-7176.19"/>
    <n v="13267.59"/>
    <n v="55471.83"/>
  </r>
  <r>
    <n v="37"/>
    <d v="2023-01-18T00:00:00"/>
    <x v="2"/>
    <n v="1"/>
    <s v="January"/>
    <n v="1"/>
    <x v="0"/>
    <x v="3"/>
    <s v="Other Income"/>
    <x v="6"/>
    <n v="38619.56"/>
    <n v="19362.5"/>
    <n v="19257.060000000001"/>
    <n v="1549.44"/>
    <n v="17707.62"/>
    <n v="45.85"/>
    <n v="1025132.29"/>
    <n v="450306.25"/>
    <n v="574826.04"/>
    <n v="36195.769999999997"/>
    <n v="9428.94"/>
    <n v="-29330.07"/>
    <n v="16294.64"/>
  </r>
  <r>
    <n v="192"/>
    <d v="2023-01-19T00:00:00"/>
    <x v="2"/>
    <n v="1"/>
    <s v="January"/>
    <n v="1"/>
    <x v="2"/>
    <x v="1"/>
    <s v="Product Sales"/>
    <x v="0"/>
    <n v="86503.51"/>
    <n v="40347.269999999997"/>
    <n v="46156.24"/>
    <n v="5872.45"/>
    <n v="40283.79"/>
    <n v="46.57"/>
    <n v="4175069.79"/>
    <n v="1518994.44"/>
    <n v="2656075.35"/>
    <n v="75740.320000000007"/>
    <n v="-16840.05"/>
    <n v="47986.27"/>
    <n v="106886.54"/>
  </r>
  <r>
    <n v="398"/>
    <d v="2023-01-20T00:00:00"/>
    <x v="2"/>
    <n v="1"/>
    <s v="January"/>
    <n v="1"/>
    <x v="1"/>
    <x v="3"/>
    <s v="Service Revenue"/>
    <x v="3"/>
    <n v="175009.42"/>
    <n v="114359.86"/>
    <n v="60649.56"/>
    <n v="14782.54"/>
    <n v="45867.02"/>
    <n v="26.21"/>
    <n v="1016391.2"/>
    <n v="453476.56"/>
    <n v="562914.64"/>
    <n v="29427.35"/>
    <n v="-64902.51"/>
    <n v="21752.91"/>
    <n v="-13722.25"/>
  </r>
  <r>
    <n v="295"/>
    <d v="2023-01-22T00:00:00"/>
    <x v="2"/>
    <n v="1"/>
    <s v="January"/>
    <n v="1"/>
    <x v="2"/>
    <x v="1"/>
    <s v="Consulting"/>
    <x v="4"/>
    <n v="111478.75"/>
    <n v="74281.320000000007"/>
    <n v="37197.43"/>
    <n v="3820.94"/>
    <n v="33376.49"/>
    <n v="29.94"/>
    <n v="2497366.35"/>
    <n v="1074643"/>
    <n v="1422723.35"/>
    <n v="80056.320000000007"/>
    <n v="-26891.31"/>
    <n v="14934.26"/>
    <n v="68099.27"/>
  </r>
  <r>
    <n v="479"/>
    <d v="2023-01-29T00:00:00"/>
    <x v="2"/>
    <n v="1"/>
    <s v="January"/>
    <n v="1"/>
    <x v="5"/>
    <x v="1"/>
    <s v="Other Income"/>
    <x v="3"/>
    <n v="84837.9"/>
    <n v="68521.98"/>
    <n v="16315.92"/>
    <n v="3239.01"/>
    <n v="13076.91"/>
    <n v="15.41"/>
    <n v="874503.8"/>
    <n v="520490.54"/>
    <n v="354013.26"/>
    <n v="21521.71"/>
    <n v="-63124.61"/>
    <n v="14971.73"/>
    <n v="-26631.17"/>
  </r>
  <r>
    <n v="118"/>
    <d v="2023-02-03T00:00:00"/>
    <x v="2"/>
    <n v="1"/>
    <s v="February"/>
    <n v="2"/>
    <x v="5"/>
    <x v="2"/>
    <s v="Product Sales"/>
    <x v="2"/>
    <n v="53610.7"/>
    <n v="29981.94"/>
    <n v="23628.76"/>
    <n v="5077.33"/>
    <n v="18551.43"/>
    <n v="34.6"/>
    <n v="1333528.01"/>
    <n v="822921.46"/>
    <n v="510606.55"/>
    <n v="22513.62"/>
    <n v="-61296.1"/>
    <n v="41574.86"/>
    <n v="2792.38"/>
  </r>
  <r>
    <n v="306"/>
    <d v="2023-02-03T00:00:00"/>
    <x v="2"/>
    <n v="1"/>
    <s v="February"/>
    <n v="2"/>
    <x v="5"/>
    <x v="3"/>
    <s v="Service Revenue"/>
    <x v="0"/>
    <n v="95201.22"/>
    <n v="76259.55"/>
    <n v="18941.669999999998"/>
    <n v="1710.49"/>
    <n v="17231.18"/>
    <n v="18.100000000000001"/>
    <n v="3584279.05"/>
    <n v="931864.13"/>
    <n v="2652414.92"/>
    <n v="945.91"/>
    <n v="-24642.1"/>
    <n v="5487.24"/>
    <n v="-18208.95"/>
  </r>
  <r>
    <n v="170"/>
    <d v="2023-02-06T00:00:00"/>
    <x v="2"/>
    <n v="1"/>
    <s v="February"/>
    <n v="2"/>
    <x v="5"/>
    <x v="0"/>
    <s v="Service Revenue"/>
    <x v="6"/>
    <n v="159939.66"/>
    <n v="86104.25"/>
    <n v="73835.41"/>
    <n v="11570.8"/>
    <n v="62264.61"/>
    <n v="38.93"/>
    <n v="4932453.45"/>
    <n v="2756279.6"/>
    <n v="2176173.85"/>
    <n v="34438"/>
    <n v="-63479.54"/>
    <n v="6393.14"/>
    <n v="-22648.400000000001"/>
  </r>
  <r>
    <n v="287"/>
    <d v="2023-02-06T00:00:00"/>
    <x v="2"/>
    <n v="1"/>
    <s v="February"/>
    <n v="2"/>
    <x v="3"/>
    <x v="0"/>
    <s v="Consulting"/>
    <x v="0"/>
    <n v="138354.06"/>
    <n v="97953.55"/>
    <n v="40400.51"/>
    <n v="8401.23"/>
    <n v="31999.279999999999"/>
    <n v="23.13"/>
    <n v="2592748.62"/>
    <n v="1554789.09"/>
    <n v="1037959.53"/>
    <n v="18274.2"/>
    <n v="-57261.36"/>
    <n v="-11449.12"/>
    <n v="-50436.28"/>
  </r>
  <r>
    <n v="23"/>
    <d v="2023-02-09T00:00:00"/>
    <x v="2"/>
    <n v="1"/>
    <s v="February"/>
    <n v="2"/>
    <x v="2"/>
    <x v="3"/>
    <s v="Product Sales"/>
    <x v="3"/>
    <n v="164988.41"/>
    <n v="111926.09"/>
    <n v="53062.32"/>
    <n v="13089.34"/>
    <n v="39972.980000000003"/>
    <n v="24.23"/>
    <n v="3236395.32"/>
    <n v="1633271.91"/>
    <n v="1603123.41"/>
    <n v="54358.23"/>
    <n v="-60899.79"/>
    <n v="32639.7"/>
    <n v="26098.14"/>
  </r>
  <r>
    <n v="532"/>
    <d v="2023-02-13T00:00:00"/>
    <x v="2"/>
    <n v="1"/>
    <s v="February"/>
    <n v="2"/>
    <x v="0"/>
    <x v="1"/>
    <s v="Product Sales"/>
    <x v="1"/>
    <n v="149851.89000000001"/>
    <n v="71691.3"/>
    <n v="78160.59"/>
    <n v="11749.88"/>
    <n v="66410.710000000006"/>
    <n v="44.32"/>
    <n v="3554993.02"/>
    <n v="1225473.76"/>
    <n v="2329519.2599999998"/>
    <n v="43127.72"/>
    <n v="7002.12"/>
    <n v="23017.51"/>
    <n v="73147.350000000006"/>
  </r>
  <r>
    <n v="80"/>
    <d v="2023-02-15T00:00:00"/>
    <x v="2"/>
    <n v="1"/>
    <s v="February"/>
    <n v="2"/>
    <x v="0"/>
    <x v="1"/>
    <s v="Product Sales"/>
    <x v="2"/>
    <n v="156840.17000000001"/>
    <n v="120907.91"/>
    <n v="35932.26"/>
    <n v="7201.6"/>
    <n v="28730.66"/>
    <n v="18.32"/>
    <n v="4266559.9800000004"/>
    <n v="2256961.5299999998"/>
    <n v="2009598.45"/>
    <n v="53141.919999999998"/>
    <n v="-8138.86"/>
    <n v="35271.660000000003"/>
    <n v="80274.720000000001"/>
  </r>
  <r>
    <n v="69"/>
    <d v="2023-02-16T00:00:00"/>
    <x v="2"/>
    <n v="1"/>
    <s v="February"/>
    <n v="2"/>
    <x v="1"/>
    <x v="2"/>
    <s v="Service Revenue"/>
    <x v="2"/>
    <n v="137338.85"/>
    <n v="65123.59"/>
    <n v="72215.259999999995"/>
    <n v="9647.91"/>
    <n v="62567.35"/>
    <n v="45.56"/>
    <n v="2927710.82"/>
    <n v="1657931.21"/>
    <n v="1269779.6100000001"/>
    <n v="58067.55"/>
    <n v="-7410.86"/>
    <n v="48597.77"/>
    <n v="99254.46"/>
  </r>
  <r>
    <n v="148"/>
    <d v="2023-02-19T00:00:00"/>
    <x v="2"/>
    <n v="1"/>
    <s v="February"/>
    <n v="2"/>
    <x v="3"/>
    <x v="2"/>
    <s v="Service Revenue"/>
    <x v="3"/>
    <n v="69315.55"/>
    <n v="52118.39"/>
    <n v="17197.16"/>
    <n v="3894"/>
    <n v="13303.16"/>
    <n v="19.190000000000001"/>
    <n v="4309314.5199999996"/>
    <n v="2661306.0099999998"/>
    <n v="1648008.51"/>
    <n v="3482.44"/>
    <n v="5504.19"/>
    <n v="6053.95"/>
    <n v="15040.58"/>
  </r>
  <r>
    <n v="471"/>
    <d v="2023-02-24T00:00:00"/>
    <x v="2"/>
    <n v="1"/>
    <s v="February"/>
    <n v="2"/>
    <x v="5"/>
    <x v="0"/>
    <s v="Other Income"/>
    <x v="5"/>
    <n v="144204.48000000001"/>
    <n v="87595.15"/>
    <n v="56609.33"/>
    <n v="9970.08"/>
    <n v="46639.25"/>
    <n v="32.340000000000003"/>
    <n v="594541.21"/>
    <n v="156823.64000000001"/>
    <n v="437717.57"/>
    <n v="52305.29"/>
    <n v="11665.52"/>
    <n v="48523.89"/>
    <n v="112494.7"/>
  </r>
  <r>
    <n v="581"/>
    <d v="2023-03-01T00:00:00"/>
    <x v="2"/>
    <n v="1"/>
    <s v="March"/>
    <n v="3"/>
    <x v="3"/>
    <x v="1"/>
    <s v="Service Revenue"/>
    <x v="2"/>
    <n v="38197.26"/>
    <n v="21470.29"/>
    <n v="16726.97"/>
    <n v="3455.48"/>
    <n v="13271.49"/>
    <n v="34.74"/>
    <n v="4839944.8099999996"/>
    <n v="2599767.7999999998"/>
    <n v="2240177.0099999998"/>
    <n v="62681.53"/>
    <n v="-166.2"/>
    <n v="-10620.55"/>
    <n v="51894.78"/>
  </r>
  <r>
    <n v="558"/>
    <d v="2023-03-02T00:00:00"/>
    <x v="2"/>
    <n v="1"/>
    <s v="March"/>
    <n v="3"/>
    <x v="2"/>
    <x v="2"/>
    <s v="Product Sales"/>
    <x v="4"/>
    <n v="86099.53"/>
    <n v="65765.850000000006"/>
    <n v="20333.68"/>
    <n v="3330.8"/>
    <n v="17002.88"/>
    <n v="19.75"/>
    <n v="2623561.2999999998"/>
    <n v="1170436.27"/>
    <n v="1453125.03"/>
    <n v="54745.68"/>
    <n v="13194.15"/>
    <n v="352"/>
    <n v="68291.83"/>
  </r>
  <r>
    <n v="116"/>
    <d v="2023-03-03T00:00:00"/>
    <x v="2"/>
    <n v="1"/>
    <s v="March"/>
    <n v="3"/>
    <x v="3"/>
    <x v="1"/>
    <s v="Product Sales"/>
    <x v="3"/>
    <n v="126477.43"/>
    <n v="74701.06"/>
    <n v="51776.37"/>
    <n v="5877.46"/>
    <n v="45898.91"/>
    <n v="36.29"/>
    <n v="2656324.5299999998"/>
    <n v="870805.15"/>
    <n v="1785519.38"/>
    <n v="29205.439999999999"/>
    <n v="-8264.82"/>
    <n v="12308.47"/>
    <n v="33249.089999999997"/>
  </r>
  <r>
    <n v="173"/>
    <d v="2023-03-06T00:00:00"/>
    <x v="2"/>
    <n v="1"/>
    <s v="March"/>
    <n v="3"/>
    <x v="4"/>
    <x v="0"/>
    <s v="Other Income"/>
    <x v="4"/>
    <n v="81280.61"/>
    <n v="63558.1"/>
    <n v="17722.509999999998"/>
    <n v="1926.53"/>
    <n v="15795.98"/>
    <n v="19.43"/>
    <n v="2781729.97"/>
    <n v="1360947.62"/>
    <n v="1420782.35"/>
    <n v="-11533.33"/>
    <n v="-33630.69"/>
    <n v="33263.519999999997"/>
    <n v="-11900.5"/>
  </r>
  <r>
    <n v="209"/>
    <d v="2023-03-07T00:00:00"/>
    <x v="2"/>
    <n v="1"/>
    <s v="March"/>
    <n v="3"/>
    <x v="3"/>
    <x v="1"/>
    <s v="Consulting"/>
    <x v="2"/>
    <n v="148102.65"/>
    <n v="81757.7"/>
    <n v="66344.95"/>
    <n v="15199.99"/>
    <n v="51144.959999999999"/>
    <n v="34.53"/>
    <n v="4748189.42"/>
    <n v="1469651.93"/>
    <n v="3278537.49"/>
    <n v="58159.01"/>
    <n v="28098.74"/>
    <n v="8340.74"/>
    <n v="94598.49"/>
  </r>
  <r>
    <n v="410"/>
    <d v="2023-03-09T00:00:00"/>
    <x v="2"/>
    <n v="1"/>
    <s v="March"/>
    <n v="3"/>
    <x v="2"/>
    <x v="2"/>
    <s v="Product Sales"/>
    <x v="3"/>
    <n v="80858.2"/>
    <n v="54481.49"/>
    <n v="26376.71"/>
    <n v="3847.48"/>
    <n v="22529.23"/>
    <n v="27.86"/>
    <n v="4385659.53"/>
    <n v="1638135.54"/>
    <n v="2747523.99"/>
    <n v="16012.01"/>
    <n v="-43400.23"/>
    <n v="-6721.91"/>
    <n v="-34110.129999999997"/>
  </r>
  <r>
    <n v="381"/>
    <d v="2023-03-12T00:00:00"/>
    <x v="2"/>
    <n v="1"/>
    <s v="March"/>
    <n v="3"/>
    <x v="4"/>
    <x v="3"/>
    <s v="Other Income"/>
    <x v="1"/>
    <n v="147452.29999999999"/>
    <n v="83701.820000000007"/>
    <n v="63750.48"/>
    <n v="11382.92"/>
    <n v="52367.56"/>
    <n v="35.51"/>
    <n v="2055312.47"/>
    <n v="1184492.53"/>
    <n v="870819.94"/>
    <n v="59705.81"/>
    <n v="-62327.72"/>
    <n v="-23394.75"/>
    <n v="-26016.66"/>
  </r>
  <r>
    <n v="567"/>
    <d v="2023-03-13T00:00:00"/>
    <x v="2"/>
    <n v="1"/>
    <s v="March"/>
    <n v="3"/>
    <x v="3"/>
    <x v="2"/>
    <s v="Other Income"/>
    <x v="0"/>
    <n v="51058.31"/>
    <n v="32653.65"/>
    <n v="18404.66"/>
    <n v="2997.27"/>
    <n v="15407.39"/>
    <n v="30.18"/>
    <n v="3312911.99"/>
    <n v="2082081.56"/>
    <n v="1230830.43"/>
    <n v="31789.11"/>
    <n v="-15978.27"/>
    <n v="-34967.71"/>
    <n v="-19156.87"/>
  </r>
  <r>
    <n v="156"/>
    <d v="2023-03-16T00:00:00"/>
    <x v="2"/>
    <n v="1"/>
    <s v="March"/>
    <n v="3"/>
    <x v="4"/>
    <x v="3"/>
    <s v="Other Income"/>
    <x v="5"/>
    <n v="133956.23000000001"/>
    <n v="62897.47"/>
    <n v="71058.759999999995"/>
    <n v="11562.8"/>
    <n v="59495.96"/>
    <n v="44.41"/>
    <n v="3197160.35"/>
    <n v="1569352.56"/>
    <n v="1627807.79"/>
    <n v="31330.58"/>
    <n v="-37789.199999999997"/>
    <n v="23649.07"/>
    <n v="17190.45"/>
  </r>
  <r>
    <n v="27"/>
    <d v="2023-03-17T00:00:00"/>
    <x v="2"/>
    <n v="1"/>
    <s v="March"/>
    <n v="3"/>
    <x v="2"/>
    <x v="3"/>
    <s v="Consulting"/>
    <x v="4"/>
    <n v="43698.559999999998"/>
    <n v="27114.44"/>
    <n v="16584.12"/>
    <n v="1908.45"/>
    <n v="14675.67"/>
    <n v="33.58"/>
    <n v="2139214.37"/>
    <n v="965570.58"/>
    <n v="1173643.79"/>
    <n v="39907.26"/>
    <n v="-66068.789999999994"/>
    <n v="39941.040000000001"/>
    <n v="13779.51"/>
  </r>
  <r>
    <n v="349"/>
    <d v="2023-03-27T00:00:00"/>
    <x v="2"/>
    <n v="1"/>
    <s v="March"/>
    <n v="3"/>
    <x v="4"/>
    <x v="3"/>
    <s v="Consulting"/>
    <x v="1"/>
    <n v="137897.48000000001"/>
    <n v="79697.61"/>
    <n v="58199.87"/>
    <n v="11295.77"/>
    <n v="46904.1"/>
    <n v="34.01"/>
    <n v="4124435.19"/>
    <n v="2593042.71"/>
    <n v="1531392.48"/>
    <n v="48921.08"/>
    <n v="8329.7999999999993"/>
    <n v="-13407.15"/>
    <n v="43843.73"/>
  </r>
  <r>
    <n v="418"/>
    <d v="2023-03-27T00:00:00"/>
    <x v="2"/>
    <n v="1"/>
    <s v="March"/>
    <n v="3"/>
    <x v="0"/>
    <x v="3"/>
    <s v="Consulting"/>
    <x v="2"/>
    <n v="75864.81"/>
    <n v="35648.550000000003"/>
    <n v="40216.26"/>
    <n v="7793.54"/>
    <n v="32422.720000000001"/>
    <n v="42.74"/>
    <n v="1540759.68"/>
    <n v="535303.75"/>
    <n v="1005455.93"/>
    <n v="26906.49"/>
    <n v="-63631.519999999997"/>
    <n v="-22287.29"/>
    <n v="-59012.32"/>
  </r>
  <r>
    <n v="101"/>
    <d v="2023-03-27T00:00:00"/>
    <x v="2"/>
    <n v="1"/>
    <s v="March"/>
    <n v="3"/>
    <x v="0"/>
    <x v="3"/>
    <s v="Product Sales"/>
    <x v="1"/>
    <n v="138632.51999999999"/>
    <n v="69133.27"/>
    <n v="69499.25"/>
    <n v="14017.32"/>
    <n v="55481.93"/>
    <n v="40.020000000000003"/>
    <n v="4590646.34"/>
    <n v="1477606.23"/>
    <n v="3113040.11"/>
    <n v="44485.4"/>
    <n v="27139.51"/>
    <n v="-21902.3"/>
    <n v="49722.61"/>
  </r>
  <r>
    <n v="384"/>
    <d v="2023-03-27T00:00:00"/>
    <x v="2"/>
    <n v="1"/>
    <s v="March"/>
    <n v="3"/>
    <x v="3"/>
    <x v="3"/>
    <s v="Product Sales"/>
    <x v="5"/>
    <n v="77403.08"/>
    <n v="38463.519999999997"/>
    <n v="38939.56"/>
    <n v="5708.39"/>
    <n v="33231.17"/>
    <n v="42.93"/>
    <n v="1231973.67"/>
    <n v="669881.09"/>
    <n v="562092.57999999996"/>
    <n v="19937.64"/>
    <n v="-64143.47"/>
    <n v="15236.61"/>
    <n v="-28969.22"/>
  </r>
  <r>
    <n v="374"/>
    <d v="2023-04-02T00:00:00"/>
    <x v="2"/>
    <n v="2"/>
    <s v="April"/>
    <n v="4"/>
    <x v="5"/>
    <x v="3"/>
    <s v="Other Income"/>
    <x v="5"/>
    <n v="38585.72"/>
    <n v="18303.150000000001"/>
    <n v="20282.57"/>
    <n v="4695.8999999999996"/>
    <n v="15586.67"/>
    <n v="40.39"/>
    <n v="2587164.12"/>
    <n v="977976.31"/>
    <n v="1609187.81"/>
    <n v="23703.57"/>
    <n v="-38169.589999999997"/>
    <n v="8903.58"/>
    <n v="-5562.44"/>
  </r>
  <r>
    <n v="539"/>
    <d v="2023-04-03T00:00:00"/>
    <x v="2"/>
    <n v="2"/>
    <s v="April"/>
    <n v="4"/>
    <x v="1"/>
    <x v="2"/>
    <s v="Other Income"/>
    <x v="5"/>
    <n v="105292.38"/>
    <n v="47672.32"/>
    <n v="57620.06"/>
    <n v="8749.99"/>
    <n v="48870.07"/>
    <n v="46.41"/>
    <n v="3731306.73"/>
    <n v="1593557.08"/>
    <n v="2137749.65"/>
    <n v="77447.61"/>
    <n v="-46698.1"/>
    <n v="41314.199999999997"/>
    <n v="72063.710000000006"/>
  </r>
  <r>
    <n v="484"/>
    <d v="2023-04-08T00:00:00"/>
    <x v="2"/>
    <n v="2"/>
    <s v="April"/>
    <n v="4"/>
    <x v="2"/>
    <x v="0"/>
    <s v="Consulting"/>
    <x v="2"/>
    <n v="112099.96"/>
    <n v="55087.69"/>
    <n v="57012.27"/>
    <n v="10468.370000000001"/>
    <n v="46543.9"/>
    <n v="41.52"/>
    <n v="3057943.79"/>
    <n v="1733234.02"/>
    <n v="1324709.77"/>
    <n v="95478.91"/>
    <n v="-44912.65"/>
    <n v="10965.65"/>
    <n v="61531.91"/>
  </r>
  <r>
    <n v="550"/>
    <d v="2023-04-11T00:00:00"/>
    <x v="2"/>
    <n v="2"/>
    <s v="April"/>
    <n v="4"/>
    <x v="3"/>
    <x v="3"/>
    <s v="Product Sales"/>
    <x v="0"/>
    <n v="149793.48000000001"/>
    <n v="114524.47"/>
    <n v="35269.01"/>
    <n v="4555.1899999999996"/>
    <n v="30713.82"/>
    <n v="20.5"/>
    <n v="4785170.3499999996"/>
    <n v="1291728.31"/>
    <n v="3493442.04"/>
    <n v="12706.56"/>
    <n v="-16241.89"/>
    <n v="17579.25"/>
    <n v="14043.92"/>
  </r>
  <r>
    <n v="55"/>
    <d v="2023-04-12T00:00:00"/>
    <x v="2"/>
    <n v="2"/>
    <s v="April"/>
    <n v="4"/>
    <x v="0"/>
    <x v="1"/>
    <s v="Other Income"/>
    <x v="5"/>
    <n v="153684.07999999999"/>
    <n v="91742.93"/>
    <n v="61941.15"/>
    <n v="11990.23"/>
    <n v="49950.92"/>
    <n v="32.5"/>
    <n v="1422429.33"/>
    <n v="522400.1"/>
    <n v="900029.23"/>
    <n v="91657.79"/>
    <n v="-68699.81"/>
    <n v="-31449.15"/>
    <n v="-8491.17"/>
  </r>
  <r>
    <n v="500"/>
    <d v="2023-04-14T00:00:00"/>
    <x v="2"/>
    <n v="2"/>
    <s v="April"/>
    <n v="4"/>
    <x v="3"/>
    <x v="0"/>
    <s v="Other Income"/>
    <x v="1"/>
    <n v="72008.86"/>
    <n v="51496.73"/>
    <n v="20512.13"/>
    <n v="2891.64"/>
    <n v="17620.490000000002"/>
    <n v="24.47"/>
    <n v="1705066.14"/>
    <n v="721059.55"/>
    <n v="984006.59"/>
    <n v="-5060.51"/>
    <n v="4660.32"/>
    <n v="-38740.36"/>
    <n v="-39140.550000000003"/>
  </r>
  <r>
    <n v="281"/>
    <d v="2023-04-16T00:00:00"/>
    <x v="2"/>
    <n v="2"/>
    <s v="April"/>
    <n v="4"/>
    <x v="0"/>
    <x v="3"/>
    <s v="Product Sales"/>
    <x v="4"/>
    <n v="70871.149999999994"/>
    <n v="43933.03"/>
    <n v="26938.12"/>
    <n v="4037.64"/>
    <n v="22900.48"/>
    <n v="32.31"/>
    <n v="3748681.52"/>
    <n v="1514172.86"/>
    <n v="2234508.66"/>
    <n v="32050.6"/>
    <n v="-27039.14"/>
    <n v="34062.61"/>
    <n v="39074.07"/>
  </r>
  <r>
    <n v="517"/>
    <d v="2023-04-18T00:00:00"/>
    <x v="2"/>
    <n v="2"/>
    <s v="April"/>
    <n v="4"/>
    <x v="4"/>
    <x v="2"/>
    <s v="Product Sales"/>
    <x v="2"/>
    <n v="116108.76"/>
    <n v="88350.5"/>
    <n v="27758.26"/>
    <n v="2303.23"/>
    <n v="25455.03"/>
    <n v="21.92"/>
    <n v="720520.9"/>
    <n v="345207.41"/>
    <n v="375313.49"/>
    <n v="61014.68"/>
    <n v="-37326.11"/>
    <n v="-5038.5600000000004"/>
    <n v="18650.009999999998"/>
  </r>
  <r>
    <n v="61"/>
    <d v="2023-04-21T00:00:00"/>
    <x v="2"/>
    <n v="2"/>
    <s v="April"/>
    <n v="4"/>
    <x v="0"/>
    <x v="0"/>
    <s v="Consulting"/>
    <x v="0"/>
    <n v="87679.13"/>
    <n v="64464.959999999999"/>
    <n v="23214.17"/>
    <n v="3522.66"/>
    <n v="19691.509999999998"/>
    <n v="22.46"/>
    <n v="2092421.19"/>
    <n v="1325446.03"/>
    <n v="766975.16"/>
    <n v="4441.18"/>
    <n v="-60966.3"/>
    <n v="37098.589999999997"/>
    <n v="-19426.53"/>
  </r>
  <r>
    <n v="503"/>
    <d v="2023-05-04T00:00:00"/>
    <x v="2"/>
    <n v="2"/>
    <s v="May"/>
    <n v="5"/>
    <x v="4"/>
    <x v="0"/>
    <s v="Consulting"/>
    <x v="5"/>
    <n v="25321.86"/>
    <n v="13837.44"/>
    <n v="11484.42"/>
    <n v="1930.62"/>
    <n v="9553.7999999999993"/>
    <n v="37.729999999999997"/>
    <n v="3749972.44"/>
    <n v="1198726.23"/>
    <n v="2551246.21"/>
    <n v="23304.29"/>
    <n v="1445.97"/>
    <n v="4462.7700000000004"/>
    <n v="29213.03"/>
  </r>
  <r>
    <n v="464"/>
    <d v="2023-05-04T00:00:00"/>
    <x v="2"/>
    <n v="2"/>
    <s v="May"/>
    <n v="5"/>
    <x v="3"/>
    <x v="2"/>
    <s v="Product Sales"/>
    <x v="2"/>
    <n v="40587.22"/>
    <n v="24169.96"/>
    <n v="16417.259999999998"/>
    <n v="3034.59"/>
    <n v="13382.67"/>
    <n v="32.97"/>
    <n v="4373595.22"/>
    <n v="1699048.82"/>
    <n v="2674546.4"/>
    <n v="35685.61"/>
    <n v="-34980.129999999997"/>
    <n v="21721.96"/>
    <n v="22427.439999999999"/>
  </r>
  <r>
    <n v="267"/>
    <d v="2023-05-05T00:00:00"/>
    <x v="2"/>
    <n v="2"/>
    <s v="May"/>
    <n v="5"/>
    <x v="0"/>
    <x v="2"/>
    <s v="Product Sales"/>
    <x v="0"/>
    <n v="174577.38"/>
    <n v="94765.91"/>
    <n v="79811.47"/>
    <n v="15557.21"/>
    <n v="64254.26"/>
    <n v="36.81"/>
    <n v="3679834.41"/>
    <n v="1817849.12"/>
    <n v="1861985.29"/>
    <n v="59286.85"/>
    <n v="-42890.37"/>
    <n v="19766.830000000002"/>
    <n v="36163.31"/>
  </r>
  <r>
    <n v="38"/>
    <d v="2023-05-07T00:00:00"/>
    <x v="2"/>
    <n v="2"/>
    <s v="May"/>
    <n v="5"/>
    <x v="0"/>
    <x v="2"/>
    <s v="Consulting"/>
    <x v="1"/>
    <n v="88320.34"/>
    <n v="70231.19"/>
    <n v="18089.150000000001"/>
    <n v="4494.3900000000003"/>
    <n v="13594.76"/>
    <n v="15.39"/>
    <n v="1422508.15"/>
    <n v="571409.34"/>
    <n v="851098.81"/>
    <n v="57710.71"/>
    <n v="2159.66"/>
    <n v="-35190.54"/>
    <n v="24679.83"/>
  </r>
  <r>
    <n v="582"/>
    <d v="2023-05-11T00:00:00"/>
    <x v="2"/>
    <n v="2"/>
    <s v="May"/>
    <n v="5"/>
    <x v="1"/>
    <x v="2"/>
    <s v="Consulting"/>
    <x v="6"/>
    <n v="73284.41"/>
    <n v="54207.14"/>
    <n v="19077.27"/>
    <n v="2961.77"/>
    <n v="16115.5"/>
    <n v="21.99"/>
    <n v="2683700.34"/>
    <n v="1505995.38"/>
    <n v="1177704.96"/>
    <n v="16704.57"/>
    <n v="-25687.27"/>
    <n v="-2380.9499999999998"/>
    <n v="-11363.65"/>
  </r>
  <r>
    <n v="3"/>
    <d v="2023-05-11T00:00:00"/>
    <x v="2"/>
    <n v="2"/>
    <s v="May"/>
    <n v="5"/>
    <x v="1"/>
    <x v="1"/>
    <s v="Other Income"/>
    <x v="5"/>
    <n v="149147.14000000001"/>
    <n v="104485.37"/>
    <n v="44661.77"/>
    <n v="7926.23"/>
    <n v="36735.54"/>
    <n v="24.63"/>
    <n v="1078251.5900000001"/>
    <n v="619435.77"/>
    <n v="458815.82"/>
    <n v="72386.7"/>
    <n v="-7406.03"/>
    <n v="42042.68"/>
    <n v="107023.35"/>
  </r>
  <r>
    <n v="313"/>
    <d v="2023-05-14T00:00:00"/>
    <x v="2"/>
    <n v="2"/>
    <s v="May"/>
    <n v="5"/>
    <x v="3"/>
    <x v="0"/>
    <s v="Other Income"/>
    <x v="4"/>
    <n v="47772.9"/>
    <n v="27554.39"/>
    <n v="20218.509999999998"/>
    <n v="4589.4399999999996"/>
    <n v="15629.07"/>
    <n v="32.72"/>
    <n v="1197163.8999999999"/>
    <n v="338910.8"/>
    <n v="858253.1"/>
    <n v="24392.11"/>
    <n v="-39758.050000000003"/>
    <n v="16340.84"/>
    <n v="974.9"/>
  </r>
  <r>
    <n v="182"/>
    <d v="2023-05-14T00:00:00"/>
    <x v="2"/>
    <n v="2"/>
    <s v="May"/>
    <n v="5"/>
    <x v="2"/>
    <x v="1"/>
    <s v="Service Revenue"/>
    <x v="0"/>
    <n v="88977.98"/>
    <n v="66455.08"/>
    <n v="22522.9"/>
    <n v="3636.14"/>
    <n v="18886.759999999998"/>
    <n v="21.23"/>
    <n v="581000.4"/>
    <n v="243193.76"/>
    <n v="337806.64"/>
    <n v="-8939.24"/>
    <n v="26624.34"/>
    <n v="-27254.6"/>
    <n v="-9569.5"/>
  </r>
  <r>
    <n v="538"/>
    <d v="2023-05-17T00:00:00"/>
    <x v="2"/>
    <n v="2"/>
    <s v="May"/>
    <n v="5"/>
    <x v="1"/>
    <x v="1"/>
    <s v="Service Revenue"/>
    <x v="0"/>
    <n v="50189.22"/>
    <n v="40407.64"/>
    <n v="9781.58"/>
    <n v="2198.59"/>
    <n v="7582.99"/>
    <n v="15.11"/>
    <n v="4387053.3"/>
    <n v="1810578.57"/>
    <n v="2576474.73"/>
    <n v="38571.89"/>
    <n v="-55612.38"/>
    <n v="-39138.1"/>
    <n v="-56178.59"/>
  </r>
  <r>
    <n v="172"/>
    <d v="2023-05-21T00:00:00"/>
    <x v="2"/>
    <n v="2"/>
    <s v="May"/>
    <n v="5"/>
    <x v="1"/>
    <x v="1"/>
    <s v="Other Income"/>
    <x v="0"/>
    <n v="67848.460000000006"/>
    <n v="38373"/>
    <n v="29475.46"/>
    <n v="5578.37"/>
    <n v="23897.09"/>
    <n v="35.22"/>
    <n v="1381283.66"/>
    <n v="840902.25"/>
    <n v="540381.41"/>
    <n v="35512.33"/>
    <n v="-25239.71"/>
    <n v="15782.02"/>
    <n v="26054.639999999999"/>
  </r>
  <r>
    <n v="320"/>
    <d v="2023-05-22T00:00:00"/>
    <x v="2"/>
    <n v="2"/>
    <s v="May"/>
    <n v="5"/>
    <x v="5"/>
    <x v="1"/>
    <s v="Consulting"/>
    <x v="4"/>
    <n v="77309.45"/>
    <n v="55655.199999999997"/>
    <n v="21654.25"/>
    <n v="3842.5"/>
    <n v="17811.75"/>
    <n v="23.04"/>
    <n v="2019421.86"/>
    <n v="1303352.3600000001"/>
    <n v="716069.5"/>
    <n v="-10169.26"/>
    <n v="-44735.4"/>
    <n v="12007.41"/>
    <n v="-42897.25"/>
  </r>
  <r>
    <n v="18"/>
    <d v="2023-05-22T00:00:00"/>
    <x v="2"/>
    <n v="2"/>
    <s v="May"/>
    <n v="5"/>
    <x v="4"/>
    <x v="0"/>
    <s v="Service Revenue"/>
    <x v="3"/>
    <n v="37826.01"/>
    <n v="29291.13"/>
    <n v="8534.8799999999992"/>
    <n v="1483.11"/>
    <n v="7051.77"/>
    <n v="18.64"/>
    <n v="1241754.18"/>
    <n v="514709.65"/>
    <n v="727044.53"/>
    <n v="39259.949999999997"/>
    <n v="-21962.99"/>
    <n v="58528.61"/>
    <n v="75825.570000000007"/>
  </r>
  <r>
    <n v="533"/>
    <d v="2023-05-27T00:00:00"/>
    <x v="2"/>
    <n v="2"/>
    <s v="May"/>
    <n v="5"/>
    <x v="1"/>
    <x v="3"/>
    <s v="Consulting"/>
    <x v="4"/>
    <n v="34573.17"/>
    <n v="24951.79"/>
    <n v="9621.3799999999992"/>
    <n v="1623.08"/>
    <n v="7998.3"/>
    <n v="23.13"/>
    <n v="1459417.69"/>
    <n v="821202.07"/>
    <n v="638215.62"/>
    <n v="-5701.26"/>
    <n v="-43933.83"/>
    <n v="-30747.14"/>
    <n v="-80382.23"/>
  </r>
  <r>
    <n v="371"/>
    <d v="2023-05-28T00:00:00"/>
    <x v="2"/>
    <n v="2"/>
    <s v="May"/>
    <n v="5"/>
    <x v="4"/>
    <x v="0"/>
    <s v="Product Sales"/>
    <x v="3"/>
    <n v="39634.93"/>
    <n v="30029.87"/>
    <n v="9605.06"/>
    <n v="2268.02"/>
    <n v="7337.04"/>
    <n v="18.510000000000002"/>
    <n v="3424046.21"/>
    <n v="997676.83"/>
    <n v="2426369.38"/>
    <n v="9499.2199999999993"/>
    <n v="2893.92"/>
    <n v="37982.089999999997"/>
    <n v="50375.23"/>
  </r>
  <r>
    <n v="413"/>
    <d v="2023-05-29T00:00:00"/>
    <x v="2"/>
    <n v="2"/>
    <s v="May"/>
    <n v="5"/>
    <x v="0"/>
    <x v="1"/>
    <s v="Consulting"/>
    <x v="1"/>
    <n v="104393.28"/>
    <n v="73260.84"/>
    <n v="31132.44"/>
    <n v="7421.62"/>
    <n v="23710.82"/>
    <n v="22.71"/>
    <n v="3291670.63"/>
    <n v="1881196.66"/>
    <n v="1410473.97"/>
    <n v="408.82"/>
    <n v="-31406.05"/>
    <n v="-2605.29"/>
    <n v="-33602.519999999997"/>
  </r>
  <r>
    <n v="114"/>
    <d v="2023-05-29T00:00:00"/>
    <x v="2"/>
    <n v="2"/>
    <s v="May"/>
    <n v="5"/>
    <x v="1"/>
    <x v="2"/>
    <s v="Product Sales"/>
    <x v="3"/>
    <n v="96841.58"/>
    <n v="57186.96"/>
    <n v="39654.620000000003"/>
    <n v="8992.35"/>
    <n v="30662.27"/>
    <n v="31.66"/>
    <n v="2835868.03"/>
    <n v="1252525.6299999999"/>
    <n v="1583342.4"/>
    <n v="2713.64"/>
    <n v="-35875.22"/>
    <n v="-1980.44"/>
    <n v="-35142.019999999997"/>
  </r>
  <r>
    <n v="335"/>
    <d v="2023-05-31T00:00:00"/>
    <x v="2"/>
    <n v="2"/>
    <s v="May"/>
    <n v="5"/>
    <x v="1"/>
    <x v="3"/>
    <s v="Product Sales"/>
    <x v="6"/>
    <n v="32013.62"/>
    <n v="16987.27"/>
    <n v="15026.35"/>
    <n v="1240.8800000000001"/>
    <n v="13785.47"/>
    <n v="43.06"/>
    <n v="3116376.98"/>
    <n v="911045.68"/>
    <n v="2205331.2999999998"/>
    <n v="53627.02"/>
    <n v="-17685.7"/>
    <n v="29968.99"/>
    <n v="65910.31"/>
  </r>
  <r>
    <n v="535"/>
    <d v="2023-06-03T00:00:00"/>
    <x v="2"/>
    <n v="2"/>
    <s v="June"/>
    <n v="6"/>
    <x v="3"/>
    <x v="3"/>
    <s v="Consulting"/>
    <x v="0"/>
    <n v="72413.7"/>
    <n v="45530.82"/>
    <n v="26882.880000000001"/>
    <n v="2439.38"/>
    <n v="24443.5"/>
    <n v="33.76"/>
    <n v="3250136.85"/>
    <n v="2091443.61"/>
    <n v="1158693.24"/>
    <n v="23308"/>
    <n v="5284.75"/>
    <n v="10003.39"/>
    <n v="38596.14"/>
  </r>
  <r>
    <n v="290"/>
    <d v="2023-06-03T00:00:00"/>
    <x v="2"/>
    <n v="2"/>
    <s v="June"/>
    <n v="6"/>
    <x v="4"/>
    <x v="2"/>
    <s v="Consulting"/>
    <x v="4"/>
    <n v="94189.97"/>
    <n v="44825.13"/>
    <n v="49364.84"/>
    <n v="10068.94"/>
    <n v="39295.9"/>
    <n v="41.72"/>
    <n v="3237840.21"/>
    <n v="1724647.59"/>
    <n v="1513192.62"/>
    <n v="39254.33"/>
    <n v="-33051.81"/>
    <n v="-35468.07"/>
    <n v="-29265.55"/>
  </r>
  <r>
    <n v="178"/>
    <d v="2023-06-11T00:00:00"/>
    <x v="2"/>
    <n v="2"/>
    <s v="June"/>
    <n v="6"/>
    <x v="4"/>
    <x v="1"/>
    <s v="Product Sales"/>
    <x v="6"/>
    <n v="139649.04999999999"/>
    <n v="72724.53"/>
    <n v="66924.52"/>
    <n v="12337.01"/>
    <n v="54587.51"/>
    <n v="39.090000000000003"/>
    <n v="2459774.54"/>
    <n v="1182905.31"/>
    <n v="1276869.23"/>
    <n v="83633.039999999994"/>
    <n v="10619.59"/>
    <n v="44373.73"/>
    <n v="138626.35999999999"/>
  </r>
  <r>
    <n v="337"/>
    <d v="2023-06-16T00:00:00"/>
    <x v="2"/>
    <n v="2"/>
    <s v="June"/>
    <n v="6"/>
    <x v="0"/>
    <x v="0"/>
    <s v="Service Revenue"/>
    <x v="6"/>
    <n v="117201.34"/>
    <n v="84781.18"/>
    <n v="32420.16"/>
    <n v="2772.42"/>
    <n v="29647.74"/>
    <n v="25.3"/>
    <n v="3464229.37"/>
    <n v="1603649.8"/>
    <n v="1860579.57"/>
    <n v="7908.94"/>
    <n v="-52747.61"/>
    <n v="16797.43"/>
    <n v="-28041.24"/>
  </r>
  <r>
    <n v="575"/>
    <d v="2023-06-16T00:00:00"/>
    <x v="2"/>
    <n v="2"/>
    <s v="June"/>
    <n v="6"/>
    <x v="5"/>
    <x v="1"/>
    <s v="Other Income"/>
    <x v="6"/>
    <n v="177819.8"/>
    <n v="131382.57999999999"/>
    <n v="46437.22"/>
    <n v="6795.65"/>
    <n v="39641.57"/>
    <n v="22.29"/>
    <n v="3103537.7"/>
    <n v="1907237.9"/>
    <n v="1196299.8"/>
    <n v="53969.51"/>
    <n v="-52550.15"/>
    <n v="-2129.66"/>
    <n v="-710.3"/>
  </r>
  <r>
    <n v="72"/>
    <d v="2023-06-17T00:00:00"/>
    <x v="2"/>
    <n v="2"/>
    <s v="June"/>
    <n v="6"/>
    <x v="2"/>
    <x v="1"/>
    <s v="Product Sales"/>
    <x v="1"/>
    <n v="42123.49"/>
    <n v="24482.6"/>
    <n v="17640.89"/>
    <n v="2272.69"/>
    <n v="15368.2"/>
    <n v="36.479999999999997"/>
    <n v="1833386.54"/>
    <n v="629663.96"/>
    <n v="1203722.58"/>
    <n v="-11264.34"/>
    <n v="-68212.61"/>
    <n v="58772.24"/>
    <n v="-20704.71"/>
  </r>
  <r>
    <n v="486"/>
    <d v="2023-06-22T00:00:00"/>
    <x v="2"/>
    <n v="2"/>
    <s v="June"/>
    <n v="6"/>
    <x v="0"/>
    <x v="3"/>
    <s v="Product Sales"/>
    <x v="3"/>
    <n v="172582.31"/>
    <n v="130256.3"/>
    <n v="42326.01"/>
    <n v="8487.65"/>
    <n v="33838.36"/>
    <n v="19.61"/>
    <n v="3144321.44"/>
    <n v="1818162.1"/>
    <n v="1326159.3400000001"/>
    <n v="35219.72"/>
    <n v="-25244.81"/>
    <n v="33000.17"/>
    <n v="42975.08"/>
  </r>
  <r>
    <n v="370"/>
    <d v="2023-07-03T00:00:00"/>
    <x v="2"/>
    <n v="3"/>
    <s v="July"/>
    <n v="7"/>
    <x v="0"/>
    <x v="1"/>
    <s v="Service Revenue"/>
    <x v="3"/>
    <n v="168264.5"/>
    <n v="96004.1"/>
    <n v="72260.399999999994"/>
    <n v="7350.45"/>
    <n v="64909.95"/>
    <n v="38.58"/>
    <n v="2490649.4"/>
    <n v="664973.41"/>
    <n v="1825675.99"/>
    <n v="89680.05"/>
    <n v="20270.55"/>
    <n v="43726.3"/>
    <n v="153676.9"/>
  </r>
  <r>
    <n v="481"/>
    <d v="2023-07-10T00:00:00"/>
    <x v="2"/>
    <n v="3"/>
    <s v="July"/>
    <n v="7"/>
    <x v="1"/>
    <x v="0"/>
    <s v="Consulting"/>
    <x v="2"/>
    <n v="52229.18"/>
    <n v="33420.42"/>
    <n v="18808.759999999998"/>
    <n v="3792.12"/>
    <n v="15016.64"/>
    <n v="28.75"/>
    <n v="4879673.97"/>
    <n v="1613037.34"/>
    <n v="3266636.63"/>
    <n v="-14219.89"/>
    <n v="-62469.86"/>
    <n v="-2414.75"/>
    <n v="-79104.5"/>
  </r>
  <r>
    <n v="449"/>
    <d v="2023-07-17T00:00:00"/>
    <x v="2"/>
    <n v="3"/>
    <s v="July"/>
    <n v="7"/>
    <x v="2"/>
    <x v="0"/>
    <s v="Service Revenue"/>
    <x v="4"/>
    <n v="81304.58"/>
    <n v="60470.77"/>
    <n v="20833.810000000001"/>
    <n v="4999.46"/>
    <n v="15834.35"/>
    <n v="19.48"/>
    <n v="3304446.68"/>
    <n v="1806378.8"/>
    <n v="1498067.88"/>
    <n v="50242.13"/>
    <n v="14503.96"/>
    <n v="-494.67"/>
    <n v="64251.42"/>
  </r>
  <r>
    <n v="316"/>
    <d v="2023-07-18T00:00:00"/>
    <x v="2"/>
    <n v="3"/>
    <s v="July"/>
    <n v="7"/>
    <x v="2"/>
    <x v="1"/>
    <s v="Other Income"/>
    <x v="2"/>
    <n v="170764.98"/>
    <n v="77844"/>
    <n v="92920.98"/>
    <n v="15691.49"/>
    <n v="77229.490000000005"/>
    <n v="45.23"/>
    <n v="2618903.1"/>
    <n v="1341983.5900000001"/>
    <n v="1276919.51"/>
    <n v="91995.8"/>
    <n v="-1296.08"/>
    <n v="25808.26"/>
    <n v="116507.98"/>
  </r>
  <r>
    <n v="149"/>
    <d v="2023-07-19T00:00:00"/>
    <x v="2"/>
    <n v="3"/>
    <s v="July"/>
    <n v="7"/>
    <x v="0"/>
    <x v="1"/>
    <s v="Other Income"/>
    <x v="0"/>
    <n v="52992.160000000003"/>
    <n v="24902.48"/>
    <n v="28089.68"/>
    <n v="3775.54"/>
    <n v="24314.14"/>
    <n v="45.88"/>
    <n v="3889343.01"/>
    <n v="1391344.47"/>
    <n v="2497998.54"/>
    <n v="37478.639999999999"/>
    <n v="2794.72"/>
    <n v="-29205.63"/>
    <n v="11067.73"/>
  </r>
  <r>
    <n v="540"/>
    <d v="2023-07-25T00:00:00"/>
    <x v="2"/>
    <n v="3"/>
    <s v="July"/>
    <n v="7"/>
    <x v="1"/>
    <x v="3"/>
    <s v="Product Sales"/>
    <x v="4"/>
    <n v="93227.95"/>
    <n v="44343.3"/>
    <n v="48884.65"/>
    <n v="8715.99"/>
    <n v="40168.660000000003"/>
    <n v="43.09"/>
    <n v="3189345.98"/>
    <n v="1740018.45"/>
    <n v="1449327.53"/>
    <n v="12502.25"/>
    <n v="-15876.18"/>
    <n v="-34709.26"/>
    <n v="-38083.19"/>
  </r>
  <r>
    <n v="259"/>
    <d v="2023-08-10T00:00:00"/>
    <x v="2"/>
    <n v="3"/>
    <s v="August"/>
    <n v="8"/>
    <x v="4"/>
    <x v="3"/>
    <s v="Product Sales"/>
    <x v="6"/>
    <n v="91587.37"/>
    <n v="51679.89"/>
    <n v="39907.480000000003"/>
    <n v="6464.41"/>
    <n v="33443.07"/>
    <n v="36.51"/>
    <n v="1033215.61"/>
    <n v="655684.14"/>
    <n v="377531.47"/>
    <n v="60595.93"/>
    <n v="25246.71"/>
    <n v="-17327.259999999998"/>
    <n v="68515.38"/>
  </r>
  <r>
    <n v="394"/>
    <d v="2023-08-13T00:00:00"/>
    <x v="2"/>
    <n v="3"/>
    <s v="August"/>
    <n v="8"/>
    <x v="3"/>
    <x v="3"/>
    <s v="Product Sales"/>
    <x v="4"/>
    <n v="26136.79"/>
    <n v="12011.15"/>
    <n v="14125.64"/>
    <n v="2458.6999999999998"/>
    <n v="11666.94"/>
    <n v="44.64"/>
    <n v="2842022.32"/>
    <n v="1841155.26"/>
    <n v="1000867.06"/>
    <n v="-2185.71"/>
    <n v="-44189.61"/>
    <n v="-28645.94"/>
    <n v="-75021.259999999995"/>
  </r>
  <r>
    <n v="307"/>
    <d v="2023-08-13T00:00:00"/>
    <x v="2"/>
    <n v="3"/>
    <s v="August"/>
    <n v="8"/>
    <x v="5"/>
    <x v="2"/>
    <s v="Consulting"/>
    <x v="4"/>
    <n v="124049.98"/>
    <n v="99588.31"/>
    <n v="24461.67"/>
    <n v="5623.12"/>
    <n v="18838.55"/>
    <n v="15.19"/>
    <n v="3130249.08"/>
    <n v="1826552.86"/>
    <n v="1303696.22"/>
    <n v="40244.76"/>
    <n v="-62144.22"/>
    <n v="34056.47"/>
    <n v="12157.01"/>
  </r>
  <r>
    <n v="76"/>
    <d v="2023-08-14T00:00:00"/>
    <x v="2"/>
    <n v="3"/>
    <s v="August"/>
    <n v="8"/>
    <x v="3"/>
    <x v="0"/>
    <s v="Service Revenue"/>
    <x v="0"/>
    <n v="142526.96"/>
    <n v="100841.76"/>
    <n v="41685.199999999997"/>
    <n v="4425.3999999999996"/>
    <n v="37259.800000000003"/>
    <n v="26.14"/>
    <n v="4171249.06"/>
    <n v="1417291.27"/>
    <n v="2753957.79"/>
    <n v="25165.21"/>
    <n v="-16302.56"/>
    <n v="19293.990000000002"/>
    <n v="28156.639999999999"/>
  </r>
  <r>
    <n v="30"/>
    <d v="2023-08-14T00:00:00"/>
    <x v="2"/>
    <n v="3"/>
    <s v="August"/>
    <n v="8"/>
    <x v="3"/>
    <x v="2"/>
    <s v="Product Sales"/>
    <x v="1"/>
    <n v="79892.73"/>
    <n v="47692.01"/>
    <n v="32200.720000000001"/>
    <n v="3150.12"/>
    <n v="29050.6"/>
    <n v="36.36"/>
    <n v="3818323.43"/>
    <n v="1232988.3799999999"/>
    <n v="2585335.0499999998"/>
    <n v="44167.81"/>
    <n v="14071"/>
    <n v="-31079.57"/>
    <n v="27159.24"/>
  </r>
  <r>
    <n v="377"/>
    <d v="2023-08-15T00:00:00"/>
    <x v="2"/>
    <n v="3"/>
    <s v="August"/>
    <n v="8"/>
    <x v="3"/>
    <x v="1"/>
    <s v="Service Revenue"/>
    <x v="2"/>
    <n v="41746.910000000003"/>
    <n v="26177.05"/>
    <n v="15569.86"/>
    <n v="2795.5"/>
    <n v="12774.36"/>
    <n v="30.6"/>
    <n v="2936184.89"/>
    <n v="835088.75"/>
    <n v="2101096.14"/>
    <n v="-12663.49"/>
    <n v="-59451.66"/>
    <n v="18558.77"/>
    <n v="-53556.38"/>
  </r>
  <r>
    <n v="49"/>
    <d v="2023-08-16T00:00:00"/>
    <x v="2"/>
    <n v="3"/>
    <s v="August"/>
    <n v="8"/>
    <x v="3"/>
    <x v="3"/>
    <s v="Other Income"/>
    <x v="2"/>
    <n v="95128.13"/>
    <n v="47765.46"/>
    <n v="47362.67"/>
    <n v="5209.22"/>
    <n v="42153.45"/>
    <n v="44.31"/>
    <n v="2742654.98"/>
    <n v="1145250.93"/>
    <n v="1597404.05"/>
    <n v="85341.119999999995"/>
    <n v="-33760.61"/>
    <n v="18058.84"/>
    <n v="69639.350000000006"/>
  </r>
  <r>
    <n v="598"/>
    <d v="2023-08-16T00:00:00"/>
    <x v="2"/>
    <n v="3"/>
    <s v="August"/>
    <n v="8"/>
    <x v="1"/>
    <x v="1"/>
    <s v="Service Revenue"/>
    <x v="4"/>
    <n v="66547.31"/>
    <n v="49926.61"/>
    <n v="16620.7"/>
    <n v="1486.08"/>
    <n v="15134.62"/>
    <n v="22.74"/>
    <n v="2921544.55"/>
    <n v="812832.2"/>
    <n v="2108712.35"/>
    <n v="59857.26"/>
    <n v="6635.13"/>
    <n v="25794.99"/>
    <n v="92287.38"/>
  </r>
  <r>
    <n v="51"/>
    <d v="2023-08-16T00:00:00"/>
    <x v="2"/>
    <n v="3"/>
    <s v="August"/>
    <n v="8"/>
    <x v="1"/>
    <x v="0"/>
    <s v="Service Revenue"/>
    <x v="0"/>
    <n v="141243.87"/>
    <n v="74529.460000000006"/>
    <n v="66714.41"/>
    <n v="15522.39"/>
    <n v="51192.02"/>
    <n v="36.24"/>
    <n v="1423128.38"/>
    <n v="464331.34"/>
    <n v="958797.04"/>
    <n v="24115.99"/>
    <n v="-22793.31"/>
    <n v="16484.11"/>
    <n v="17806.79"/>
  </r>
  <r>
    <n v="414"/>
    <d v="2023-08-18T00:00:00"/>
    <x v="2"/>
    <n v="3"/>
    <s v="August"/>
    <n v="8"/>
    <x v="4"/>
    <x v="3"/>
    <s v="Consulting"/>
    <x v="2"/>
    <n v="48542.36"/>
    <n v="27745.19"/>
    <n v="20797.169999999998"/>
    <n v="1856.34"/>
    <n v="18940.830000000002"/>
    <n v="39.020000000000003"/>
    <n v="1321061.18"/>
    <n v="840305.69"/>
    <n v="480755.49"/>
    <n v="23195.55"/>
    <n v="-6798.08"/>
    <n v="32611.13"/>
    <n v="49008.6"/>
  </r>
  <r>
    <n v="161"/>
    <d v="2023-08-19T00:00:00"/>
    <x v="2"/>
    <n v="3"/>
    <s v="August"/>
    <n v="8"/>
    <x v="3"/>
    <x v="0"/>
    <s v="Service Revenue"/>
    <x v="4"/>
    <n v="96018.97"/>
    <n v="60366.98"/>
    <n v="35651.99"/>
    <n v="3661.16"/>
    <n v="31990.83"/>
    <n v="33.32"/>
    <n v="862706.81"/>
    <n v="466875.98"/>
    <n v="395830.83"/>
    <n v="41707.72"/>
    <n v="-26314.93"/>
    <n v="32950.82"/>
    <n v="48343.61"/>
  </r>
  <r>
    <n v="466"/>
    <d v="2023-08-20T00:00:00"/>
    <x v="2"/>
    <n v="3"/>
    <s v="August"/>
    <n v="8"/>
    <x v="1"/>
    <x v="3"/>
    <s v="Service Revenue"/>
    <x v="5"/>
    <n v="56226.91"/>
    <n v="30819.5"/>
    <n v="25407.41"/>
    <n v="2765.83"/>
    <n v="22641.58"/>
    <n v="40.270000000000003"/>
    <n v="930383.13"/>
    <n v="388578.67"/>
    <n v="541804.46"/>
    <n v="1705.55"/>
    <n v="-52808.74"/>
    <n v="14732.47"/>
    <n v="-36370.720000000001"/>
  </r>
  <r>
    <n v="495"/>
    <d v="2023-08-30T00:00:00"/>
    <x v="2"/>
    <n v="3"/>
    <s v="August"/>
    <n v="8"/>
    <x v="5"/>
    <x v="3"/>
    <s v="Service Revenue"/>
    <x v="4"/>
    <n v="43527.28"/>
    <n v="23296.59"/>
    <n v="20230.689999999999"/>
    <n v="1984.43"/>
    <n v="18246.259999999998"/>
    <n v="41.92"/>
    <n v="4197885.88"/>
    <n v="1282821.8600000001"/>
    <n v="2915064.02"/>
    <n v="48030.06"/>
    <n v="-65208.61"/>
    <n v="54852.03"/>
    <n v="37673.480000000003"/>
  </r>
  <r>
    <n v="228"/>
    <d v="2023-08-31T00:00:00"/>
    <x v="2"/>
    <n v="3"/>
    <s v="August"/>
    <n v="8"/>
    <x v="5"/>
    <x v="1"/>
    <s v="Product Sales"/>
    <x v="2"/>
    <n v="135547.07"/>
    <n v="70987.31"/>
    <n v="64559.76"/>
    <n v="14935.03"/>
    <n v="49624.73"/>
    <n v="36.61"/>
    <n v="1793343.18"/>
    <n v="712162.39"/>
    <n v="1081180.79"/>
    <n v="24272.09"/>
    <n v="-58848.78"/>
    <n v="11586.19"/>
    <n v="-22990.5"/>
  </r>
  <r>
    <n v="46"/>
    <d v="2023-09-03T00:00:00"/>
    <x v="2"/>
    <n v="3"/>
    <s v="September"/>
    <n v="9"/>
    <x v="3"/>
    <x v="0"/>
    <s v="Product Sales"/>
    <x v="2"/>
    <n v="48643.55"/>
    <n v="32261.7"/>
    <n v="16381.85"/>
    <n v="3000.2"/>
    <n v="13381.65"/>
    <n v="27.51"/>
    <n v="2408588.02"/>
    <n v="1311663.31"/>
    <n v="1096924.71"/>
    <n v="58131.01"/>
    <n v="22556.85"/>
    <n v="5083.9399999999996"/>
    <n v="85771.8"/>
  </r>
  <r>
    <n v="448"/>
    <d v="2023-09-08T00:00:00"/>
    <x v="2"/>
    <n v="3"/>
    <s v="September"/>
    <n v="9"/>
    <x v="4"/>
    <x v="0"/>
    <s v="Consulting"/>
    <x v="2"/>
    <n v="93952.13"/>
    <n v="59278.9"/>
    <n v="34673.230000000003"/>
    <n v="4846.6400000000003"/>
    <n v="29826.59"/>
    <n v="31.75"/>
    <n v="4592968.13"/>
    <n v="2193519.79"/>
    <n v="2399448.34"/>
    <n v="60800.56"/>
    <n v="11180.67"/>
    <n v="-5815.1"/>
    <n v="66166.13"/>
  </r>
  <r>
    <n v="293"/>
    <d v="2023-09-09T00:00:00"/>
    <x v="2"/>
    <n v="3"/>
    <s v="September"/>
    <n v="9"/>
    <x v="3"/>
    <x v="3"/>
    <s v="Other Income"/>
    <x v="2"/>
    <n v="85567.05"/>
    <n v="43528.92"/>
    <n v="42038.13"/>
    <n v="5208.49"/>
    <n v="36829.64"/>
    <n v="43.04"/>
    <n v="3224352.91"/>
    <n v="1364756.52"/>
    <n v="1859596.39"/>
    <n v="68773.850000000006"/>
    <n v="15258.5"/>
    <n v="14164.64"/>
    <n v="98196.99"/>
  </r>
  <r>
    <n v="534"/>
    <d v="2023-09-19T00:00:00"/>
    <x v="2"/>
    <n v="3"/>
    <s v="September"/>
    <n v="9"/>
    <x v="5"/>
    <x v="1"/>
    <s v="Service Revenue"/>
    <x v="2"/>
    <n v="104757.08"/>
    <n v="74620.23"/>
    <n v="30136.85"/>
    <n v="7053.14"/>
    <n v="23083.71"/>
    <n v="22.04"/>
    <n v="1119803.44"/>
    <n v="304294.53000000003"/>
    <n v="815508.91"/>
    <n v="-5433.79"/>
    <n v="-55637.86"/>
    <n v="25794.95"/>
    <n v="-35276.699999999997"/>
  </r>
  <r>
    <n v="523"/>
    <d v="2023-09-20T00:00:00"/>
    <x v="2"/>
    <n v="3"/>
    <s v="September"/>
    <n v="9"/>
    <x v="5"/>
    <x v="1"/>
    <s v="Product Sales"/>
    <x v="2"/>
    <n v="168842.21"/>
    <n v="86313.06"/>
    <n v="82529.149999999994"/>
    <n v="6634.93"/>
    <n v="75894.22"/>
    <n v="44.95"/>
    <n v="4927689.2300000004"/>
    <n v="3017987.98"/>
    <n v="1909701.25"/>
    <n v="50329.84"/>
    <n v="13303.43"/>
    <n v="5780.49"/>
    <n v="69413.759999999995"/>
  </r>
  <r>
    <n v="444"/>
    <d v="2023-09-20T00:00:00"/>
    <x v="2"/>
    <n v="3"/>
    <s v="September"/>
    <n v="9"/>
    <x v="2"/>
    <x v="3"/>
    <s v="Other Income"/>
    <x v="1"/>
    <n v="137419.5"/>
    <n v="80163.09"/>
    <n v="57256.41"/>
    <n v="5428.03"/>
    <n v="51828.38"/>
    <n v="37.72"/>
    <n v="1409672.3"/>
    <n v="660003.12"/>
    <n v="749669.18"/>
    <n v="38392.949999999997"/>
    <n v="-15602.69"/>
    <n v="-16840.099999999999"/>
    <n v="5950.16"/>
  </r>
  <r>
    <n v="99"/>
    <d v="2023-09-23T00:00:00"/>
    <x v="2"/>
    <n v="3"/>
    <s v="September"/>
    <n v="9"/>
    <x v="2"/>
    <x v="2"/>
    <s v="Service Revenue"/>
    <x v="5"/>
    <n v="137711.21"/>
    <n v="99813.28"/>
    <n v="37897.93"/>
    <n v="5773.14"/>
    <n v="32124.79"/>
    <n v="23.33"/>
    <n v="2056707.47"/>
    <n v="819424.15"/>
    <n v="1237283.32"/>
    <n v="81136.759999999995"/>
    <n v="-65989.08"/>
    <n v="46703.15"/>
    <n v="61850.83"/>
  </r>
  <r>
    <n v="588"/>
    <d v="2023-09-24T00:00:00"/>
    <x v="2"/>
    <n v="3"/>
    <s v="September"/>
    <n v="9"/>
    <x v="2"/>
    <x v="2"/>
    <s v="Service Revenue"/>
    <x v="6"/>
    <n v="156514.74"/>
    <n v="122899.61"/>
    <n v="33615.129999999997"/>
    <n v="5784.21"/>
    <n v="27830.92"/>
    <n v="17.78"/>
    <n v="3332406.7"/>
    <n v="1175558.83"/>
    <n v="2156847.87"/>
    <n v="61895.14"/>
    <n v="-6787.76"/>
    <n v="10351.35"/>
    <n v="65458.73"/>
  </r>
  <r>
    <n v="520"/>
    <d v="2023-09-30T00:00:00"/>
    <x v="2"/>
    <n v="3"/>
    <s v="September"/>
    <n v="9"/>
    <x v="0"/>
    <x v="2"/>
    <s v="Product Sales"/>
    <x v="4"/>
    <n v="127360.18"/>
    <n v="95443.98"/>
    <n v="31916.2"/>
    <n v="6203.92"/>
    <n v="25712.28"/>
    <n v="20.190000000000001"/>
    <n v="2737531.38"/>
    <n v="1724980.95"/>
    <n v="1012550.43"/>
    <n v="19707.36"/>
    <n v="-68083.210000000006"/>
    <n v="3198.94"/>
    <n v="-45176.91"/>
  </r>
  <r>
    <n v="527"/>
    <d v="2023-10-01T00:00:00"/>
    <x v="2"/>
    <n v="4"/>
    <s v="October"/>
    <n v="10"/>
    <x v="3"/>
    <x v="3"/>
    <s v="Consulting"/>
    <x v="1"/>
    <n v="40929.08"/>
    <n v="21025.8"/>
    <n v="19903.28"/>
    <n v="3050.52"/>
    <n v="16852.759999999998"/>
    <n v="41.18"/>
    <n v="2797341.18"/>
    <n v="856648.72"/>
    <n v="1940692.46"/>
    <n v="20835.43"/>
    <n v="-35825.120000000003"/>
    <n v="-21657.64"/>
    <n v="-36647.33"/>
  </r>
  <r>
    <n v="595"/>
    <d v="2023-10-06T00:00:00"/>
    <x v="2"/>
    <n v="4"/>
    <s v="October"/>
    <n v="10"/>
    <x v="3"/>
    <x v="3"/>
    <s v="Service Revenue"/>
    <x v="0"/>
    <n v="64082.31"/>
    <n v="40474.370000000003"/>
    <n v="23607.94"/>
    <n v="2191.7800000000002"/>
    <n v="21416.16"/>
    <n v="33.42"/>
    <n v="3280399.94"/>
    <n v="1693811.9"/>
    <n v="1586588.04"/>
    <n v="21710.1"/>
    <n v="25442.28"/>
    <n v="47416.89"/>
    <n v="94569.27"/>
  </r>
  <r>
    <n v="599"/>
    <d v="2023-10-09T00:00:00"/>
    <x v="2"/>
    <n v="4"/>
    <s v="October"/>
    <n v="10"/>
    <x v="1"/>
    <x v="0"/>
    <s v="Consulting"/>
    <x v="0"/>
    <n v="175186.38"/>
    <n v="125111.88"/>
    <n v="50074.5"/>
    <n v="11877.27"/>
    <n v="38197.230000000003"/>
    <n v="21.8"/>
    <n v="2827093.51"/>
    <n v="839154.19"/>
    <n v="1987939.32"/>
    <n v="50451.45"/>
    <n v="-57312.72"/>
    <n v="19249.349999999999"/>
    <n v="12388.08"/>
  </r>
  <r>
    <n v="207"/>
    <d v="2023-10-10T00:00:00"/>
    <x v="2"/>
    <n v="4"/>
    <s v="October"/>
    <n v="10"/>
    <x v="5"/>
    <x v="0"/>
    <s v="Product Sales"/>
    <x v="5"/>
    <n v="57132.9"/>
    <n v="42248.85"/>
    <n v="14884.05"/>
    <n v="3049.42"/>
    <n v="11834.63"/>
    <n v="20.71"/>
    <n v="1852202.24"/>
    <n v="704446.68"/>
    <n v="1147755.56"/>
    <n v="45236.34"/>
    <n v="-23855.45"/>
    <n v="33081.800000000003"/>
    <n v="54462.69"/>
  </r>
  <r>
    <n v="561"/>
    <d v="2023-10-10T00:00:00"/>
    <x v="2"/>
    <n v="4"/>
    <s v="October"/>
    <n v="10"/>
    <x v="2"/>
    <x v="1"/>
    <s v="Product Sales"/>
    <x v="5"/>
    <n v="53587.45"/>
    <n v="33978.79"/>
    <n v="19608.66"/>
    <n v="2488.56"/>
    <n v="17120.099999999999"/>
    <n v="31.95"/>
    <n v="3789546.57"/>
    <n v="1063532.31"/>
    <n v="2726014.26"/>
    <n v="40242.74"/>
    <n v="-46244"/>
    <n v="8927.93"/>
    <n v="2926.67"/>
  </r>
  <r>
    <n v="344"/>
    <d v="2023-10-12T00:00:00"/>
    <x v="2"/>
    <n v="4"/>
    <s v="October"/>
    <n v="10"/>
    <x v="4"/>
    <x v="2"/>
    <s v="Other Income"/>
    <x v="4"/>
    <n v="41410.519999999997"/>
    <n v="24072.44"/>
    <n v="17338.080000000002"/>
    <n v="2604.86"/>
    <n v="14733.22"/>
    <n v="35.58"/>
    <n v="3541203.16"/>
    <n v="1817571.85"/>
    <n v="1723631.31"/>
    <n v="-9658.1299999999992"/>
    <n v="-30474.07"/>
    <n v="-21822.11"/>
    <n v="-61954.31"/>
  </r>
  <r>
    <n v="333"/>
    <d v="2023-10-14T00:00:00"/>
    <x v="2"/>
    <n v="4"/>
    <s v="October"/>
    <n v="10"/>
    <x v="5"/>
    <x v="3"/>
    <s v="Product Sales"/>
    <x v="4"/>
    <n v="70736.210000000006"/>
    <n v="39653.1"/>
    <n v="31083.11"/>
    <n v="3052.35"/>
    <n v="28030.76"/>
    <n v="39.630000000000003"/>
    <n v="2480261.21"/>
    <n v="1344015.76"/>
    <n v="1136245.45"/>
    <n v="73248.42"/>
    <n v="-9620.2999999999993"/>
    <n v="46313.55"/>
    <n v="109941.67"/>
  </r>
  <r>
    <n v="107"/>
    <d v="2023-10-14T00:00:00"/>
    <x v="2"/>
    <n v="4"/>
    <s v="October"/>
    <n v="10"/>
    <x v="1"/>
    <x v="1"/>
    <s v="Other Income"/>
    <x v="4"/>
    <n v="177927.67"/>
    <n v="143604.34"/>
    <n v="34323.33"/>
    <n v="2774.69"/>
    <n v="31548.639999999999"/>
    <n v="17.73"/>
    <n v="4783153.03"/>
    <n v="2418591.64"/>
    <n v="2364561.39"/>
    <n v="70982.100000000006"/>
    <n v="-24526.01"/>
    <n v="11559.6"/>
    <n v="58015.69"/>
  </r>
  <r>
    <n v="143"/>
    <d v="2023-10-15T00:00:00"/>
    <x v="2"/>
    <n v="4"/>
    <s v="October"/>
    <n v="10"/>
    <x v="5"/>
    <x v="1"/>
    <s v="Other Income"/>
    <x v="3"/>
    <n v="140662.12"/>
    <n v="97597.45"/>
    <n v="43064.67"/>
    <n v="9317.57"/>
    <n v="33747.1"/>
    <n v="23.99"/>
    <n v="974153.9"/>
    <n v="257399.07"/>
    <n v="716754.83"/>
    <n v="44433.440000000002"/>
    <n v="-31240.48"/>
    <n v="6194.69"/>
    <n v="19387.650000000001"/>
  </r>
  <r>
    <n v="417"/>
    <d v="2023-10-17T00:00:00"/>
    <x v="2"/>
    <n v="4"/>
    <s v="October"/>
    <n v="10"/>
    <x v="1"/>
    <x v="1"/>
    <s v="Service Revenue"/>
    <x v="5"/>
    <n v="74126.11"/>
    <n v="55540.15"/>
    <n v="18585.96"/>
    <n v="4253.08"/>
    <n v="14332.88"/>
    <n v="19.34"/>
    <n v="1861098.43"/>
    <n v="1104523.3"/>
    <n v="756575.13"/>
    <n v="52911.35"/>
    <n v="6465.1"/>
    <n v="-25330.49"/>
    <n v="34045.96"/>
  </r>
  <r>
    <n v="186"/>
    <d v="2023-10-18T00:00:00"/>
    <x v="2"/>
    <n v="4"/>
    <s v="October"/>
    <n v="10"/>
    <x v="0"/>
    <x v="0"/>
    <s v="Product Sales"/>
    <x v="5"/>
    <n v="91523.3"/>
    <n v="50253.37"/>
    <n v="41269.93"/>
    <n v="8838.26"/>
    <n v="32431.67"/>
    <n v="35.44"/>
    <n v="3080072.06"/>
    <n v="1581709.49"/>
    <n v="1498362.57"/>
    <n v="22616.25"/>
    <n v="-47977.47"/>
    <n v="8837.4599999999991"/>
    <n v="-16523.759999999998"/>
  </r>
  <r>
    <n v="87"/>
    <d v="2023-10-19T00:00:00"/>
    <x v="2"/>
    <n v="4"/>
    <s v="October"/>
    <n v="10"/>
    <x v="0"/>
    <x v="1"/>
    <s v="Consulting"/>
    <x v="1"/>
    <n v="159548.42000000001"/>
    <n v="128659.46"/>
    <n v="30888.959999999999"/>
    <n v="2635.49"/>
    <n v="28253.47"/>
    <n v="17.71"/>
    <n v="3790715.3"/>
    <n v="2326778.2200000002"/>
    <n v="1463937.08"/>
    <n v="66842.28"/>
    <n v="26452.05"/>
    <n v="36009.410000000003"/>
    <n v="129303.74"/>
  </r>
  <r>
    <n v="86"/>
    <d v="2023-10-23T00:00:00"/>
    <x v="2"/>
    <n v="4"/>
    <s v="October"/>
    <n v="10"/>
    <x v="5"/>
    <x v="3"/>
    <s v="Consulting"/>
    <x v="0"/>
    <n v="171367.06"/>
    <n v="83594.850000000006"/>
    <n v="87772.21"/>
    <n v="19767.68"/>
    <n v="68004.53"/>
    <n v="39.68"/>
    <n v="2871608.43"/>
    <n v="1666590.52"/>
    <n v="1205017.9099999999"/>
    <n v="61874.48"/>
    <n v="13994.72"/>
    <n v="37282.28"/>
    <n v="113151.48"/>
  </r>
  <r>
    <n v="167"/>
    <d v="2023-10-26T00:00:00"/>
    <x v="2"/>
    <n v="4"/>
    <s v="October"/>
    <n v="10"/>
    <x v="1"/>
    <x v="3"/>
    <s v="Other Income"/>
    <x v="1"/>
    <n v="137036.22"/>
    <n v="65097.32"/>
    <n v="71938.899999999994"/>
    <n v="14411.66"/>
    <n v="57527.24"/>
    <n v="41.98"/>
    <n v="2945921.98"/>
    <n v="832783.09"/>
    <n v="2113138.89"/>
    <n v="64191.29"/>
    <n v="-21530.37"/>
    <n v="-23422.55"/>
    <n v="19238.37"/>
  </r>
  <r>
    <n v="176"/>
    <d v="2023-11-05T00:00:00"/>
    <x v="2"/>
    <n v="4"/>
    <s v="November"/>
    <n v="11"/>
    <x v="5"/>
    <x v="2"/>
    <s v="Product Sales"/>
    <x v="5"/>
    <n v="138381.96"/>
    <n v="71867.62"/>
    <n v="66514.34"/>
    <n v="15024.93"/>
    <n v="51489.41"/>
    <n v="37.21"/>
    <n v="4185785.81"/>
    <n v="1951905.18"/>
    <n v="2233880.63"/>
    <n v="78308.83"/>
    <n v="-38564.99"/>
    <n v="7116.79"/>
    <n v="46860.63"/>
  </r>
  <r>
    <n v="8"/>
    <d v="2023-11-11T00:00:00"/>
    <x v="2"/>
    <n v="4"/>
    <s v="November"/>
    <n v="11"/>
    <x v="4"/>
    <x v="0"/>
    <s v="Other Income"/>
    <x v="5"/>
    <n v="74493.61"/>
    <n v="59708.34"/>
    <n v="14785.27"/>
    <n v="3572.17"/>
    <n v="11213.1"/>
    <n v="15.05"/>
    <n v="3080470.5"/>
    <n v="1548659.98"/>
    <n v="1531810.52"/>
    <n v="17088.740000000002"/>
    <n v="-40678.92"/>
    <n v="-7133.55"/>
    <n v="-30723.73"/>
  </r>
  <r>
    <n v="397"/>
    <d v="2023-11-12T00:00:00"/>
    <x v="2"/>
    <n v="4"/>
    <s v="November"/>
    <n v="11"/>
    <x v="3"/>
    <x v="0"/>
    <s v="Service Revenue"/>
    <x v="0"/>
    <n v="25649.05"/>
    <n v="17904.59"/>
    <n v="7744.46"/>
    <n v="1464.55"/>
    <n v="6279.91"/>
    <n v="24.48"/>
    <n v="2348549.64"/>
    <n v="1047118.78"/>
    <n v="1301430.8600000001"/>
    <n v="9515.35"/>
    <n v="-67599.5"/>
    <n v="-6462.84"/>
    <n v="-64546.99"/>
  </r>
  <r>
    <n v="210"/>
    <d v="2023-11-18T00:00:00"/>
    <x v="2"/>
    <n v="4"/>
    <s v="November"/>
    <n v="11"/>
    <x v="0"/>
    <x v="3"/>
    <s v="Consulting"/>
    <x v="2"/>
    <n v="101169.82"/>
    <n v="65082.98"/>
    <n v="36086.839999999997"/>
    <n v="6339.05"/>
    <n v="29747.79"/>
    <n v="29.4"/>
    <n v="2485506.71"/>
    <n v="1223620.23"/>
    <n v="1261886.48"/>
    <n v="73246.570000000007"/>
    <n v="-33773.19"/>
    <n v="32571.65"/>
    <n v="72045.03"/>
  </r>
  <r>
    <n v="145"/>
    <d v="2023-11-18T00:00:00"/>
    <x v="2"/>
    <n v="4"/>
    <s v="November"/>
    <n v="11"/>
    <x v="1"/>
    <x v="3"/>
    <s v="Product Sales"/>
    <x v="6"/>
    <n v="176278.58"/>
    <n v="122852.01"/>
    <n v="53426.57"/>
    <n v="4368.84"/>
    <n v="49057.73"/>
    <n v="27.83"/>
    <n v="1649360.68"/>
    <n v="584344.28"/>
    <n v="1065016.3999999999"/>
    <n v="24598.07"/>
    <n v="25982.65"/>
    <n v="7825.53"/>
    <n v="58406.25"/>
  </r>
  <r>
    <n v="391"/>
    <d v="2023-11-23T00:00:00"/>
    <x v="2"/>
    <n v="4"/>
    <s v="November"/>
    <n v="11"/>
    <x v="5"/>
    <x v="1"/>
    <s v="Consulting"/>
    <x v="1"/>
    <n v="58817.02"/>
    <n v="46823.64"/>
    <n v="11993.38"/>
    <n v="1909.82"/>
    <n v="10083.56"/>
    <n v="17.14"/>
    <n v="2504239.37"/>
    <n v="640651.69999999995"/>
    <n v="1863587.67"/>
    <n v="-124.46"/>
    <n v="16629.240000000002"/>
    <n v="-23537.16"/>
    <n v="-7032.38"/>
  </r>
  <r>
    <n v="150"/>
    <d v="2023-11-23T00:00:00"/>
    <x v="2"/>
    <n v="4"/>
    <s v="November"/>
    <n v="11"/>
    <x v="3"/>
    <x v="1"/>
    <s v="Consulting"/>
    <x v="5"/>
    <n v="174595.11"/>
    <n v="110118.15"/>
    <n v="64476.959999999999"/>
    <n v="6809.73"/>
    <n v="57667.23"/>
    <n v="33.03"/>
    <n v="2040726.36"/>
    <n v="847649.53"/>
    <n v="1193076.83"/>
    <n v="88322.03"/>
    <n v="4342.38"/>
    <n v="21194.05"/>
    <n v="113858.46"/>
  </r>
  <r>
    <n v="196"/>
    <d v="2023-11-26T00:00:00"/>
    <x v="2"/>
    <n v="4"/>
    <s v="November"/>
    <n v="11"/>
    <x v="5"/>
    <x v="1"/>
    <s v="Other Income"/>
    <x v="4"/>
    <n v="88964.68"/>
    <n v="61301.61"/>
    <n v="27663.07"/>
    <n v="5253.12"/>
    <n v="22409.95"/>
    <n v="25.19"/>
    <n v="4496175.79"/>
    <n v="2200774.46"/>
    <n v="2295401.33"/>
    <n v="32582.240000000002"/>
    <n v="-56112.87"/>
    <n v="-28426.240000000002"/>
    <n v="-51956.87"/>
  </r>
  <r>
    <n v="342"/>
    <d v="2023-11-27T00:00:00"/>
    <x v="2"/>
    <n v="4"/>
    <s v="November"/>
    <n v="11"/>
    <x v="4"/>
    <x v="1"/>
    <s v="Consulting"/>
    <x v="3"/>
    <n v="49988.92"/>
    <n v="34635.9"/>
    <n v="15353.02"/>
    <n v="3762.96"/>
    <n v="11590.06"/>
    <n v="23.19"/>
    <n v="3029849.65"/>
    <n v="1623700.4"/>
    <n v="1406149.25"/>
    <n v="-12933.9"/>
    <n v="-28233.3"/>
    <n v="-28364.15"/>
    <n v="-69531.350000000006"/>
  </r>
  <r>
    <n v="435"/>
    <d v="2023-11-27T00:00:00"/>
    <x v="2"/>
    <n v="4"/>
    <s v="November"/>
    <n v="11"/>
    <x v="0"/>
    <x v="0"/>
    <s v="Other Income"/>
    <x v="6"/>
    <n v="75573.73"/>
    <n v="34588.620000000003"/>
    <n v="40985.11"/>
    <n v="8580.26"/>
    <n v="32404.85"/>
    <n v="42.88"/>
    <n v="692328.23"/>
    <n v="412531.35"/>
    <n v="279796.88"/>
    <n v="11897.7"/>
    <n v="-52812.35"/>
    <n v="7652.65"/>
    <n v="-33262"/>
  </r>
  <r>
    <n v="476"/>
    <d v="2023-11-29T00:00:00"/>
    <x v="2"/>
    <n v="4"/>
    <s v="November"/>
    <n v="11"/>
    <x v="3"/>
    <x v="1"/>
    <s v="Service Revenue"/>
    <x v="1"/>
    <n v="60709.93"/>
    <n v="33816.660000000003"/>
    <n v="26893.27"/>
    <n v="3840.1"/>
    <n v="23053.17"/>
    <n v="37.97"/>
    <n v="3486842.32"/>
    <n v="1036622.03"/>
    <n v="2450220.29"/>
    <n v="69368.789999999994"/>
    <n v="16557.12"/>
    <n v="17721.61"/>
    <n v="103647.52"/>
  </r>
  <r>
    <n v="122"/>
    <d v="2023-12-01T00:00:00"/>
    <x v="2"/>
    <n v="4"/>
    <s v="December"/>
    <n v="12"/>
    <x v="2"/>
    <x v="0"/>
    <s v="Consulting"/>
    <x v="3"/>
    <n v="122962.4"/>
    <n v="57992.54"/>
    <n v="64969.86"/>
    <n v="6763.47"/>
    <n v="58206.39"/>
    <n v="47.34"/>
    <n v="1735431.14"/>
    <n v="848311.31"/>
    <n v="887119.83"/>
    <n v="82273.69"/>
    <n v="-25728.3"/>
    <n v="4579.09"/>
    <n v="61124.480000000003"/>
  </r>
  <r>
    <n v="430"/>
    <d v="2023-12-06T00:00:00"/>
    <x v="2"/>
    <n v="4"/>
    <s v="December"/>
    <n v="12"/>
    <x v="1"/>
    <x v="2"/>
    <s v="Consulting"/>
    <x v="3"/>
    <n v="77892.89"/>
    <n v="47853.33"/>
    <n v="30039.56"/>
    <n v="5853.2"/>
    <n v="24186.36"/>
    <n v="31.05"/>
    <n v="2790023.32"/>
    <n v="1658887.25"/>
    <n v="1131136.07"/>
    <n v="63469.21"/>
    <n v="-69008.929999999993"/>
    <n v="37804.629999999997"/>
    <n v="32264.91"/>
  </r>
  <r>
    <n v="594"/>
    <d v="2023-12-07T00:00:00"/>
    <x v="2"/>
    <n v="4"/>
    <s v="December"/>
    <n v="12"/>
    <x v="5"/>
    <x v="3"/>
    <s v="Consulting"/>
    <x v="0"/>
    <n v="46282.02"/>
    <n v="26586.61"/>
    <n v="19695.41"/>
    <n v="3540.19"/>
    <n v="16155.22"/>
    <n v="34.909999999999997"/>
    <n v="963072.9"/>
    <n v="522035.66"/>
    <n v="441037.24"/>
    <n v="17134.900000000001"/>
    <n v="8440.57"/>
    <n v="9289.6299999999992"/>
    <n v="34865.1"/>
  </r>
  <r>
    <n v="151"/>
    <d v="2023-12-08T00:00:00"/>
    <x v="2"/>
    <n v="4"/>
    <s v="December"/>
    <n v="12"/>
    <x v="4"/>
    <x v="0"/>
    <s v="Other Income"/>
    <x v="0"/>
    <n v="39532.32"/>
    <n v="26231.83"/>
    <n v="13300.49"/>
    <n v="3047.32"/>
    <n v="10253.17"/>
    <n v="25.94"/>
    <n v="2452102.31"/>
    <n v="770792.05"/>
    <n v="1681310.26"/>
    <n v="24896.560000000001"/>
    <n v="11175.22"/>
    <n v="34171.21"/>
    <n v="70242.990000000005"/>
  </r>
  <r>
    <n v="423"/>
    <d v="2023-12-09T00:00:00"/>
    <x v="2"/>
    <n v="4"/>
    <s v="December"/>
    <n v="12"/>
    <x v="0"/>
    <x v="2"/>
    <s v="Other Income"/>
    <x v="4"/>
    <n v="35991.97"/>
    <n v="20854.63"/>
    <n v="15137.34"/>
    <n v="3430.49"/>
    <n v="11706.85"/>
    <n v="32.53"/>
    <n v="1548827.65"/>
    <n v="817897.14"/>
    <n v="730930.51"/>
    <n v="32077.119999999999"/>
    <n v="16348.46"/>
    <n v="-26771.21"/>
    <n v="21654.37"/>
  </r>
  <r>
    <n v="274"/>
    <d v="2023-12-13T00:00:00"/>
    <x v="2"/>
    <n v="4"/>
    <s v="December"/>
    <n v="12"/>
    <x v="1"/>
    <x v="2"/>
    <s v="Consulting"/>
    <x v="5"/>
    <n v="144465.09"/>
    <n v="87859.82"/>
    <n v="56605.27"/>
    <n v="6512.83"/>
    <n v="50092.44"/>
    <n v="34.67"/>
    <n v="4098734.44"/>
    <n v="1571629.86"/>
    <n v="2527104.58"/>
    <n v="89307.91"/>
    <n v="21525.72"/>
    <n v="45982.38"/>
    <n v="156816.01"/>
  </r>
  <r>
    <n v="525"/>
    <d v="2023-12-13T00:00:00"/>
    <x v="2"/>
    <n v="4"/>
    <s v="December"/>
    <n v="12"/>
    <x v="4"/>
    <x v="0"/>
    <s v="Other Income"/>
    <x v="5"/>
    <n v="72078.929999999993"/>
    <n v="34916.22"/>
    <n v="37162.71"/>
    <n v="3881.93"/>
    <n v="33280.78"/>
    <n v="46.17"/>
    <n v="970971.98"/>
    <n v="407009.53"/>
    <n v="563962.44999999995"/>
    <n v="66927.05"/>
    <n v="-55861.64"/>
    <n v="-26967.96"/>
    <n v="-15902.55"/>
  </r>
  <r>
    <n v="115"/>
    <d v="2023-12-13T00:00:00"/>
    <x v="2"/>
    <n v="4"/>
    <s v="December"/>
    <n v="12"/>
    <x v="0"/>
    <x v="2"/>
    <s v="Consulting"/>
    <x v="1"/>
    <n v="107708.39"/>
    <n v="72695.070000000007"/>
    <n v="35013.32"/>
    <n v="7353.85"/>
    <n v="27659.47"/>
    <n v="25.68"/>
    <n v="4158435.82"/>
    <n v="2234116.44"/>
    <n v="1924319.38"/>
    <n v="74101.37"/>
    <n v="-68176.740000000005"/>
    <n v="-20422.2"/>
    <n v="-14497.57"/>
  </r>
  <r>
    <n v="519"/>
    <d v="2023-12-14T00:00:00"/>
    <x v="2"/>
    <n v="4"/>
    <s v="December"/>
    <n v="12"/>
    <x v="0"/>
    <x v="3"/>
    <s v="Service Revenue"/>
    <x v="2"/>
    <n v="142682.04"/>
    <n v="96924.87"/>
    <n v="45757.17"/>
    <n v="4262.74"/>
    <n v="41494.43"/>
    <n v="29.08"/>
    <n v="2807759.13"/>
    <n v="1087502.3500000001"/>
    <n v="1720256.78"/>
    <n v="37780.080000000002"/>
    <n v="-9774.3700000000008"/>
    <n v="-7767.52"/>
    <n v="20238.189999999999"/>
  </r>
  <r>
    <n v="563"/>
    <d v="2023-12-18T00:00:00"/>
    <x v="2"/>
    <n v="4"/>
    <s v="December"/>
    <n v="12"/>
    <x v="5"/>
    <x v="3"/>
    <s v="Service Revenue"/>
    <x v="2"/>
    <n v="66466.69"/>
    <n v="42678.7"/>
    <n v="23787.99"/>
    <n v="2850.82"/>
    <n v="20937.169999999998"/>
    <n v="31.5"/>
    <n v="1056049.19"/>
    <n v="316261.75"/>
    <n v="739787.44"/>
    <n v="37599.269999999997"/>
    <n v="3475.93"/>
    <n v="-7846.7"/>
    <n v="33228.5"/>
  </r>
  <r>
    <n v="553"/>
    <d v="2023-12-18T00:00:00"/>
    <x v="2"/>
    <n v="4"/>
    <s v="December"/>
    <n v="12"/>
    <x v="3"/>
    <x v="1"/>
    <s v="Other Income"/>
    <x v="5"/>
    <n v="160221.16"/>
    <n v="108446.17"/>
    <n v="51774.99"/>
    <n v="5525.67"/>
    <n v="46249.32"/>
    <n v="28.87"/>
    <n v="4830521.26"/>
    <n v="2209220.4700000002"/>
    <n v="2621300.79"/>
    <n v="22081.200000000001"/>
    <n v="-7316.71"/>
    <n v="-14680.11"/>
    <n v="84.38"/>
  </r>
  <r>
    <n v="41"/>
    <d v="2023-12-19T00:00:00"/>
    <x v="2"/>
    <n v="4"/>
    <s v="December"/>
    <n v="12"/>
    <x v="3"/>
    <x v="1"/>
    <s v="Consulting"/>
    <x v="6"/>
    <n v="109141.64"/>
    <n v="66539.88"/>
    <n v="42601.760000000002"/>
    <n v="5818.49"/>
    <n v="36783.269999999997"/>
    <n v="33.700000000000003"/>
    <n v="3787471.12"/>
    <n v="1997841.94"/>
    <n v="1789629.18"/>
    <n v="20121.73"/>
    <n v="17862.91"/>
    <n v="9542.36"/>
    <n v="47527"/>
  </r>
  <r>
    <n v="131"/>
    <d v="2023-12-23T00:00:00"/>
    <x v="2"/>
    <n v="4"/>
    <s v="December"/>
    <n v="12"/>
    <x v="3"/>
    <x v="2"/>
    <s v="Service Revenue"/>
    <x v="2"/>
    <n v="136820.42000000001"/>
    <n v="68721.19"/>
    <n v="68099.23"/>
    <n v="7902.03"/>
    <n v="60197.2"/>
    <n v="44"/>
    <n v="4184307.52"/>
    <n v="1585899.38"/>
    <n v="2598408.14"/>
    <n v="32028.71"/>
    <n v="-54620.89"/>
    <n v="-17638.560000000001"/>
    <n v="-40230.74"/>
  </r>
  <r>
    <n v="593"/>
    <d v="2023-12-29T00:00:00"/>
    <x v="2"/>
    <n v="4"/>
    <s v="December"/>
    <n v="12"/>
    <x v="3"/>
    <x v="3"/>
    <s v="Other Income"/>
    <x v="0"/>
    <n v="56809.11"/>
    <n v="29547.67"/>
    <n v="27261.439999999999"/>
    <n v="2763.07"/>
    <n v="24498.37"/>
    <n v="43.12"/>
    <n v="1899531.52"/>
    <n v="1148017.67"/>
    <n v="751513.85"/>
    <n v="56492.65"/>
    <n v="3525.12"/>
    <n v="39733.68"/>
    <n v="99751.45"/>
  </r>
  <r>
    <n v="6"/>
    <d v="2024-01-01T00:00:00"/>
    <x v="3"/>
    <n v="1"/>
    <s v="January"/>
    <n v="1"/>
    <x v="0"/>
    <x v="1"/>
    <s v="Product Sales"/>
    <x v="0"/>
    <n v="178528.3"/>
    <n v="107593.39"/>
    <n v="70934.91"/>
    <n v="10160.93"/>
    <n v="60773.98"/>
    <n v="34.04"/>
    <n v="3993858.32"/>
    <n v="1542913"/>
    <n v="2450945.3199999998"/>
    <n v="105234.57"/>
    <n v="15841.28"/>
    <n v="2899.4"/>
    <n v="123975.25"/>
  </r>
  <r>
    <n v="584"/>
    <d v="2024-01-05T00:00:00"/>
    <x v="3"/>
    <n v="1"/>
    <s v="January"/>
    <n v="1"/>
    <x v="4"/>
    <x v="2"/>
    <s v="Service Revenue"/>
    <x v="1"/>
    <n v="131175.94"/>
    <n v="93380.04"/>
    <n v="37795.9"/>
    <n v="5336.73"/>
    <n v="32459.17"/>
    <n v="24.74"/>
    <n v="845255.3"/>
    <n v="355445.99"/>
    <n v="489809.31"/>
    <n v="37846.01"/>
    <n v="-3132.91"/>
    <n v="-8458.36"/>
    <n v="26254.74"/>
  </r>
  <r>
    <n v="83"/>
    <d v="2024-01-10T00:00:00"/>
    <x v="3"/>
    <n v="1"/>
    <s v="January"/>
    <n v="1"/>
    <x v="1"/>
    <x v="2"/>
    <s v="Consulting"/>
    <x v="1"/>
    <n v="108896.32000000001"/>
    <n v="87803.87"/>
    <n v="21092.45"/>
    <n v="2913.25"/>
    <n v="18179.2"/>
    <n v="16.690000000000001"/>
    <n v="3346798.52"/>
    <n v="2084423.74"/>
    <n v="1262374.78"/>
    <n v="-3620.02"/>
    <n v="23722.85"/>
    <n v="28788.57"/>
    <n v="48891.4"/>
  </r>
  <r>
    <n v="260"/>
    <d v="2024-01-10T00:00:00"/>
    <x v="3"/>
    <n v="1"/>
    <s v="January"/>
    <n v="1"/>
    <x v="1"/>
    <x v="2"/>
    <s v="Consulting"/>
    <x v="0"/>
    <n v="129958.62"/>
    <n v="88535.71"/>
    <n v="41422.910000000003"/>
    <n v="5542.94"/>
    <n v="35879.97"/>
    <n v="27.61"/>
    <n v="4173848.53"/>
    <n v="1880761.96"/>
    <n v="2293086.5699999998"/>
    <n v="11551.3"/>
    <n v="-38713.68"/>
    <n v="53529.71"/>
    <n v="26367.33"/>
  </r>
  <r>
    <n v="201"/>
    <d v="2024-01-15T00:00:00"/>
    <x v="3"/>
    <n v="1"/>
    <s v="January"/>
    <n v="1"/>
    <x v="0"/>
    <x v="2"/>
    <s v="Service Revenue"/>
    <x v="6"/>
    <n v="77664.17"/>
    <n v="49812.13"/>
    <n v="27852.04"/>
    <n v="4022.25"/>
    <n v="23829.79"/>
    <n v="30.68"/>
    <n v="530196.76"/>
    <n v="214384.95"/>
    <n v="315811.81"/>
    <n v="57167.41"/>
    <n v="-10401.120000000001"/>
    <n v="-29874.01"/>
    <n v="16892.28"/>
  </r>
  <r>
    <n v="589"/>
    <d v="2024-01-15T00:00:00"/>
    <x v="3"/>
    <n v="1"/>
    <s v="January"/>
    <n v="1"/>
    <x v="1"/>
    <x v="1"/>
    <s v="Service Revenue"/>
    <x v="5"/>
    <n v="120394.97"/>
    <n v="62761.38"/>
    <n v="57633.59"/>
    <n v="10551.88"/>
    <n v="47081.71"/>
    <n v="39.11"/>
    <n v="3548585.09"/>
    <n v="1633442.58"/>
    <n v="1915142.51"/>
    <n v="74529.850000000006"/>
    <n v="-11854.61"/>
    <n v="54776.959999999999"/>
    <n v="117452.2"/>
  </r>
  <r>
    <n v="498"/>
    <d v="2024-01-21T00:00:00"/>
    <x v="3"/>
    <n v="1"/>
    <s v="January"/>
    <n v="1"/>
    <x v="1"/>
    <x v="1"/>
    <s v="Other Income"/>
    <x v="1"/>
    <n v="170363"/>
    <n v="119346.72"/>
    <n v="51016.28"/>
    <n v="5113.55"/>
    <n v="45902.73"/>
    <n v="26.94"/>
    <n v="810175.45"/>
    <n v="359247.95"/>
    <n v="450927.5"/>
    <n v="33509.94"/>
    <n v="-44601.52"/>
    <n v="47769.22"/>
    <n v="36677.64"/>
  </r>
  <r>
    <n v="568"/>
    <d v="2024-01-25T00:00:00"/>
    <x v="3"/>
    <n v="1"/>
    <s v="January"/>
    <n v="1"/>
    <x v="0"/>
    <x v="0"/>
    <s v="Other Income"/>
    <x v="6"/>
    <n v="30032.97"/>
    <n v="21775.119999999999"/>
    <n v="8257.85"/>
    <n v="1676.06"/>
    <n v="6581.79"/>
    <n v="21.92"/>
    <n v="1112253.05"/>
    <n v="650035.79"/>
    <n v="462217.26"/>
    <n v="-11035.33"/>
    <n v="-39882.44"/>
    <n v="-15102.31"/>
    <n v="-66020.08"/>
  </r>
  <r>
    <n v="347"/>
    <d v="2024-01-28T00:00:00"/>
    <x v="3"/>
    <n v="1"/>
    <s v="January"/>
    <n v="1"/>
    <x v="1"/>
    <x v="3"/>
    <s v="Consulting"/>
    <x v="2"/>
    <n v="152793.09"/>
    <n v="77035.44"/>
    <n v="75757.649999999994"/>
    <n v="16787.75"/>
    <n v="58969.9"/>
    <n v="38.590000000000003"/>
    <n v="2931334.39"/>
    <n v="1723232.89"/>
    <n v="1208101.5"/>
    <n v="63474.04"/>
    <n v="-32095.95"/>
    <n v="51506.07"/>
    <n v="82884.160000000003"/>
  </r>
  <r>
    <n v="442"/>
    <d v="2024-01-28T00:00:00"/>
    <x v="3"/>
    <n v="1"/>
    <s v="January"/>
    <n v="1"/>
    <x v="4"/>
    <x v="2"/>
    <s v="Product Sales"/>
    <x v="4"/>
    <n v="45501.65"/>
    <n v="23787.11"/>
    <n v="21714.54"/>
    <n v="2613.83"/>
    <n v="19100.71"/>
    <n v="41.98"/>
    <n v="1849539.17"/>
    <n v="937934.66"/>
    <n v="911604.51"/>
    <n v="37176.35"/>
    <n v="-392.01"/>
    <n v="-3749.8"/>
    <n v="33034.54"/>
  </r>
  <r>
    <n v="17"/>
    <d v="2024-01-29T00:00:00"/>
    <x v="3"/>
    <n v="1"/>
    <s v="January"/>
    <n v="1"/>
    <x v="0"/>
    <x v="1"/>
    <s v="Product Sales"/>
    <x v="2"/>
    <n v="68363.34"/>
    <n v="41164.75"/>
    <n v="27198.59"/>
    <n v="4963.01"/>
    <n v="22235.58"/>
    <n v="32.53"/>
    <n v="1719309.39"/>
    <n v="521421.92"/>
    <n v="1197887.47"/>
    <n v="-1668.39"/>
    <n v="24053.18"/>
    <n v="1663.91"/>
    <n v="24048.7"/>
  </r>
  <r>
    <n v="530"/>
    <d v="2024-02-01T00:00:00"/>
    <x v="3"/>
    <n v="1"/>
    <s v="February"/>
    <n v="2"/>
    <x v="1"/>
    <x v="3"/>
    <s v="Product Sales"/>
    <x v="1"/>
    <n v="66539.58"/>
    <n v="52401.05"/>
    <n v="14138.53"/>
    <n v="2652.96"/>
    <n v="11485.57"/>
    <n v="17.260000000000002"/>
    <n v="3744745.97"/>
    <n v="1321374.58"/>
    <n v="2423371.39"/>
    <n v="39036.620000000003"/>
    <n v="-67187.850000000006"/>
    <n v="-2467.87"/>
    <n v="-30619.1"/>
  </r>
  <r>
    <n v="1"/>
    <d v="2024-02-01T00:00:00"/>
    <x v="3"/>
    <n v="1"/>
    <s v="February"/>
    <n v="2"/>
    <x v="0"/>
    <x v="2"/>
    <s v="Service Revenue"/>
    <x v="6"/>
    <n v="98496.94"/>
    <n v="47889.08"/>
    <n v="50607.86"/>
    <n v="8278.17"/>
    <n v="42329.69"/>
    <n v="42.98"/>
    <n v="2630622.9700000002"/>
    <n v="839907.27"/>
    <n v="1790715.7"/>
    <n v="47037.82"/>
    <n v="-30149.53"/>
    <n v="21585.01"/>
    <n v="38473.300000000003"/>
  </r>
  <r>
    <n v="472"/>
    <d v="2024-02-02T00:00:00"/>
    <x v="3"/>
    <n v="1"/>
    <s v="February"/>
    <n v="2"/>
    <x v="3"/>
    <x v="1"/>
    <s v="Service Revenue"/>
    <x v="4"/>
    <n v="166550.6"/>
    <n v="98856.1"/>
    <n v="67694.5"/>
    <n v="14962.26"/>
    <n v="52732.24"/>
    <n v="31.66"/>
    <n v="1101630.44"/>
    <n v="687591.23"/>
    <n v="414039.21"/>
    <n v="82846.11"/>
    <n v="24133.439999999999"/>
    <n v="27661.72"/>
    <n v="134641.26999999999"/>
  </r>
  <r>
    <n v="545"/>
    <d v="2024-02-04T00:00:00"/>
    <x v="3"/>
    <n v="1"/>
    <s v="February"/>
    <n v="2"/>
    <x v="5"/>
    <x v="0"/>
    <s v="Product Sales"/>
    <x v="2"/>
    <n v="72498.559999999998"/>
    <n v="58435.199999999997"/>
    <n v="14063.36"/>
    <n v="3430.94"/>
    <n v="10632.42"/>
    <n v="14.67"/>
    <n v="1802463.66"/>
    <n v="796418.64"/>
    <n v="1006045.02"/>
    <n v="58459.95"/>
    <n v="-69513.16"/>
    <n v="1267.82"/>
    <n v="-9785.39"/>
  </r>
  <r>
    <n v="90"/>
    <d v="2024-02-04T00:00:00"/>
    <x v="3"/>
    <n v="1"/>
    <s v="February"/>
    <n v="2"/>
    <x v="3"/>
    <x v="3"/>
    <s v="Product Sales"/>
    <x v="5"/>
    <n v="148463.28"/>
    <n v="93259.18"/>
    <n v="55204.1"/>
    <n v="5517.23"/>
    <n v="49686.87"/>
    <n v="33.47"/>
    <n v="1063336.06"/>
    <n v="557428.53"/>
    <n v="505907.53"/>
    <n v="54111.34"/>
    <n v="-49947.53"/>
    <n v="9159.4500000000007"/>
    <n v="13323.26"/>
  </r>
  <r>
    <n v="5"/>
    <d v="2024-02-05T00:00:00"/>
    <x v="3"/>
    <n v="1"/>
    <s v="February"/>
    <n v="2"/>
    <x v="1"/>
    <x v="0"/>
    <s v="Product Sales"/>
    <x v="0"/>
    <n v="68687.490000000005"/>
    <n v="33912.46"/>
    <n v="34775.03"/>
    <n v="6900.94"/>
    <n v="27874.09"/>
    <n v="40.58"/>
    <n v="3330242.81"/>
    <n v="2001438.65"/>
    <n v="1328804.1599999999"/>
    <n v="56679.77"/>
    <n v="10348.09"/>
    <n v="-11796.54"/>
    <n v="55231.32"/>
  </r>
  <r>
    <n v="365"/>
    <d v="2024-02-10T00:00:00"/>
    <x v="3"/>
    <n v="1"/>
    <s v="February"/>
    <n v="2"/>
    <x v="2"/>
    <x v="2"/>
    <s v="Service Revenue"/>
    <x v="0"/>
    <n v="96930.34"/>
    <n v="77440.84"/>
    <n v="19489.5"/>
    <n v="2632.04"/>
    <n v="16857.46"/>
    <n v="17.39"/>
    <n v="3475133.05"/>
    <n v="1775425.12"/>
    <n v="1699707.93"/>
    <n v="6943.87"/>
    <n v="-4957.4799999999996"/>
    <n v="-18766.599999999999"/>
    <n v="-16780.21"/>
  </r>
  <r>
    <n v="248"/>
    <d v="2024-02-11T00:00:00"/>
    <x v="3"/>
    <n v="1"/>
    <s v="February"/>
    <n v="2"/>
    <x v="5"/>
    <x v="3"/>
    <s v="Consulting"/>
    <x v="0"/>
    <n v="102118.68"/>
    <n v="53687.02"/>
    <n v="48431.66"/>
    <n v="8741.5300000000007"/>
    <n v="39690.129999999997"/>
    <n v="38.869999999999997"/>
    <n v="1337611.54"/>
    <n v="511804.79"/>
    <n v="825806.75"/>
    <n v="78092.55"/>
    <n v="-49292.42"/>
    <n v="-32884.17"/>
    <n v="-4084.04"/>
  </r>
  <r>
    <n v="256"/>
    <d v="2024-02-11T00:00:00"/>
    <x v="3"/>
    <n v="1"/>
    <s v="February"/>
    <n v="2"/>
    <x v="4"/>
    <x v="0"/>
    <s v="Consulting"/>
    <x v="1"/>
    <n v="137992.06"/>
    <n v="106091.83"/>
    <n v="31900.23"/>
    <n v="4038.32"/>
    <n v="27861.91"/>
    <n v="20.190000000000001"/>
    <n v="4131819.07"/>
    <n v="1355634.31"/>
    <n v="2776184.76"/>
    <n v="25489.27"/>
    <n v="-36438.949999999997"/>
    <n v="57852.55"/>
    <n v="46902.87"/>
  </r>
  <r>
    <n v="445"/>
    <d v="2024-02-14T00:00:00"/>
    <x v="3"/>
    <n v="1"/>
    <s v="February"/>
    <n v="2"/>
    <x v="1"/>
    <x v="1"/>
    <s v="Product Sales"/>
    <x v="2"/>
    <n v="63060.35"/>
    <n v="47330.62"/>
    <n v="15729.73"/>
    <n v="2175.15"/>
    <n v="13554.58"/>
    <n v="21.49"/>
    <n v="1001694.6"/>
    <n v="478974.09"/>
    <n v="522720.51"/>
    <n v="30079.72"/>
    <n v="1469.57"/>
    <n v="-15978.06"/>
    <n v="15571.23"/>
  </r>
  <r>
    <n v="570"/>
    <d v="2024-02-16T00:00:00"/>
    <x v="3"/>
    <n v="1"/>
    <s v="February"/>
    <n v="2"/>
    <x v="5"/>
    <x v="3"/>
    <s v="Other Income"/>
    <x v="4"/>
    <n v="106686.18"/>
    <n v="70177.100000000006"/>
    <n v="36509.08"/>
    <n v="3980.89"/>
    <n v="32528.19"/>
    <n v="30.49"/>
    <n v="1389606.36"/>
    <n v="524613.81999999995"/>
    <n v="864992.54"/>
    <n v="50007.9"/>
    <n v="-48988.22"/>
    <n v="-28366.83"/>
    <n v="-27347.15"/>
  </r>
  <r>
    <n v="355"/>
    <d v="2024-02-18T00:00:00"/>
    <x v="3"/>
    <n v="1"/>
    <s v="February"/>
    <n v="2"/>
    <x v="5"/>
    <x v="3"/>
    <s v="Product Sales"/>
    <x v="3"/>
    <n v="91048.79"/>
    <n v="69012.66"/>
    <n v="22036.13"/>
    <n v="4780.97"/>
    <n v="17255.16"/>
    <n v="18.95"/>
    <n v="1509433.51"/>
    <n v="513858.91"/>
    <n v="995574.6"/>
    <n v="52639.58"/>
    <n v="23039.84"/>
    <n v="-30463.91"/>
    <n v="45215.51"/>
  </r>
  <r>
    <n v="299"/>
    <d v="2024-02-22T00:00:00"/>
    <x v="3"/>
    <n v="1"/>
    <s v="February"/>
    <n v="2"/>
    <x v="4"/>
    <x v="2"/>
    <s v="Product Sales"/>
    <x v="2"/>
    <n v="152939.43"/>
    <n v="116631.98"/>
    <n v="36307.449999999997"/>
    <n v="4441.54"/>
    <n v="31865.91"/>
    <n v="20.84"/>
    <n v="3095160.79"/>
    <n v="857057.34"/>
    <n v="2238103.4500000002"/>
    <n v="9459.34"/>
    <n v="29889.26"/>
    <n v="-7336.08"/>
    <n v="32012.52"/>
  </r>
  <r>
    <n v="509"/>
    <d v="2024-02-23T00:00:00"/>
    <x v="3"/>
    <n v="1"/>
    <s v="February"/>
    <n v="2"/>
    <x v="0"/>
    <x v="2"/>
    <s v="Consulting"/>
    <x v="1"/>
    <n v="103584.94"/>
    <n v="68542.53"/>
    <n v="35042.410000000003"/>
    <n v="8357.59"/>
    <n v="26684.82"/>
    <n v="25.76"/>
    <n v="4361930.5599999996"/>
    <n v="1388142.74"/>
    <n v="2973787.82"/>
    <n v="31625.45"/>
    <n v="-23599.96"/>
    <n v="38909.61"/>
    <n v="46935.1"/>
  </r>
  <r>
    <n v="559"/>
    <d v="2024-02-25T00:00:00"/>
    <x v="3"/>
    <n v="1"/>
    <s v="February"/>
    <n v="2"/>
    <x v="4"/>
    <x v="2"/>
    <s v="Service Revenue"/>
    <x v="5"/>
    <n v="113779.74"/>
    <n v="61234.52"/>
    <n v="52545.22"/>
    <n v="11295.77"/>
    <n v="41249.449999999997"/>
    <n v="36.25"/>
    <n v="2689172.45"/>
    <n v="1031615.55"/>
    <n v="1657556.9"/>
    <n v="19795.13"/>
    <n v="-46115.48"/>
    <n v="54928.12"/>
    <n v="28607.77"/>
  </r>
  <r>
    <n v="128"/>
    <d v="2024-02-27T00:00:00"/>
    <x v="3"/>
    <n v="1"/>
    <s v="February"/>
    <n v="2"/>
    <x v="5"/>
    <x v="0"/>
    <s v="Consulting"/>
    <x v="2"/>
    <n v="39404.019999999997"/>
    <n v="21479.43"/>
    <n v="17924.59"/>
    <n v="3834.85"/>
    <n v="14089.74"/>
    <n v="35.76"/>
    <n v="4391087.8600000003"/>
    <n v="2166538.88"/>
    <n v="2224548.98"/>
    <n v="24636.81"/>
    <n v="-54069.599999999999"/>
    <n v="-33689.1"/>
    <n v="-63121.89"/>
  </r>
  <r>
    <n v="273"/>
    <d v="2024-02-28T00:00:00"/>
    <x v="3"/>
    <n v="1"/>
    <s v="February"/>
    <n v="2"/>
    <x v="4"/>
    <x v="3"/>
    <s v="Other Income"/>
    <x v="0"/>
    <n v="154966.23000000001"/>
    <n v="115896.67"/>
    <n v="39069.56"/>
    <n v="8591.68"/>
    <n v="30477.88"/>
    <n v="19.670000000000002"/>
    <n v="4697197.29"/>
    <n v="2196886.62"/>
    <n v="2500310.67"/>
    <n v="16500.439999999999"/>
    <n v="-8321.64"/>
    <n v="34288.15"/>
    <n v="42466.95"/>
  </r>
  <r>
    <n v="351"/>
    <d v="2024-02-29T00:00:00"/>
    <x v="3"/>
    <n v="1"/>
    <s v="February"/>
    <n v="2"/>
    <x v="2"/>
    <x v="0"/>
    <s v="Service Revenue"/>
    <x v="0"/>
    <n v="145325.01999999999"/>
    <n v="72413.350000000006"/>
    <n v="72911.67"/>
    <n v="12841.3"/>
    <n v="60070.37"/>
    <n v="41.34"/>
    <n v="2490135.2400000002"/>
    <n v="1416599.16"/>
    <n v="1073536.08"/>
    <n v="88008.97"/>
    <n v="-959.43"/>
    <n v="-5945.52"/>
    <n v="81104.02"/>
  </r>
  <r>
    <n v="57"/>
    <d v="2024-02-29T00:00:00"/>
    <x v="3"/>
    <n v="1"/>
    <s v="February"/>
    <n v="2"/>
    <x v="4"/>
    <x v="3"/>
    <s v="Consulting"/>
    <x v="1"/>
    <n v="88458.81"/>
    <n v="57874.84"/>
    <n v="30583.97"/>
    <n v="4714.26"/>
    <n v="25869.71"/>
    <n v="29.24"/>
    <n v="1825095.92"/>
    <n v="1148681.28"/>
    <n v="676414.64"/>
    <n v="56958.17"/>
    <n v="-55988.68"/>
    <n v="46846.8"/>
    <n v="47816.29"/>
  </r>
  <r>
    <n v="387"/>
    <d v="2024-03-04T00:00:00"/>
    <x v="3"/>
    <n v="1"/>
    <s v="March"/>
    <n v="3"/>
    <x v="0"/>
    <x v="3"/>
    <s v="Service Revenue"/>
    <x v="6"/>
    <n v="122664.43"/>
    <n v="92808.1"/>
    <n v="29856.33"/>
    <n v="6365.07"/>
    <n v="23491.26"/>
    <n v="19.149999999999999"/>
    <n v="1746811.62"/>
    <n v="1094119.07"/>
    <n v="652692.55000000005"/>
    <n v="3438.93"/>
    <n v="17513.36"/>
    <n v="57094.02"/>
    <n v="78046.31"/>
  </r>
  <r>
    <n v="132"/>
    <d v="2024-03-08T00:00:00"/>
    <x v="3"/>
    <n v="1"/>
    <s v="March"/>
    <n v="3"/>
    <x v="4"/>
    <x v="1"/>
    <s v="Product Sales"/>
    <x v="4"/>
    <n v="152484.49"/>
    <n v="76094.960000000006"/>
    <n v="76389.53"/>
    <n v="17305.47"/>
    <n v="59084.06"/>
    <n v="38.75"/>
    <n v="4652407.3600000003"/>
    <n v="2069506.02"/>
    <n v="2582901.34"/>
    <n v="77584.3"/>
    <n v="6480.98"/>
    <n v="-22516.14"/>
    <n v="61549.14"/>
  </r>
  <r>
    <n v="497"/>
    <d v="2024-03-12T00:00:00"/>
    <x v="3"/>
    <n v="1"/>
    <s v="March"/>
    <n v="3"/>
    <x v="0"/>
    <x v="3"/>
    <s v="Other Income"/>
    <x v="0"/>
    <n v="101886.62"/>
    <n v="46141.77"/>
    <n v="55744.85"/>
    <n v="9122.9599999999991"/>
    <n v="46621.89"/>
    <n v="45.76"/>
    <n v="4939193.3099999996"/>
    <n v="1784565.43"/>
    <n v="3154627.88"/>
    <n v="48255.35"/>
    <n v="-1281"/>
    <n v="41479.370000000003"/>
    <n v="88453.72"/>
  </r>
  <r>
    <n v="312"/>
    <d v="2024-03-17T00:00:00"/>
    <x v="3"/>
    <n v="1"/>
    <s v="March"/>
    <n v="3"/>
    <x v="0"/>
    <x v="3"/>
    <s v="Service Revenue"/>
    <x v="6"/>
    <n v="75569.36"/>
    <n v="42377.17"/>
    <n v="33192.19"/>
    <n v="3967.33"/>
    <n v="29224.86"/>
    <n v="38.67"/>
    <n v="1083555.3999999999"/>
    <n v="382045.62"/>
    <n v="701509.78"/>
    <n v="27650.44"/>
    <n v="-2600.58"/>
    <n v="-33743.519999999997"/>
    <n v="-8693.66"/>
  </r>
  <r>
    <n v="123"/>
    <d v="2024-03-26T00:00:00"/>
    <x v="3"/>
    <n v="1"/>
    <s v="March"/>
    <n v="3"/>
    <x v="5"/>
    <x v="1"/>
    <s v="Product Sales"/>
    <x v="1"/>
    <n v="77868.95"/>
    <n v="58629.22"/>
    <n v="19239.73"/>
    <n v="3512.16"/>
    <n v="15727.57"/>
    <n v="20.2"/>
    <n v="2017522.1"/>
    <n v="1235147.04"/>
    <n v="782375.06"/>
    <n v="47537.39"/>
    <n v="-43510.46"/>
    <n v="24528.98"/>
    <n v="28555.91"/>
  </r>
  <r>
    <n v="198"/>
    <d v="2024-03-29T00:00:00"/>
    <x v="3"/>
    <n v="1"/>
    <s v="March"/>
    <n v="3"/>
    <x v="1"/>
    <x v="2"/>
    <s v="Consulting"/>
    <x v="5"/>
    <n v="31779.56"/>
    <n v="15747.13"/>
    <n v="16032.43"/>
    <n v="2805.18"/>
    <n v="13227.25"/>
    <n v="41.62"/>
    <n v="2044253.09"/>
    <n v="1107309.33"/>
    <n v="936943.76"/>
    <n v="35410.58"/>
    <n v="14560.44"/>
    <n v="29249.279999999999"/>
    <n v="79220.3"/>
  </r>
  <r>
    <n v="343"/>
    <d v="2024-03-29T00:00:00"/>
    <x v="3"/>
    <n v="1"/>
    <s v="March"/>
    <n v="3"/>
    <x v="2"/>
    <x v="1"/>
    <s v="Consulting"/>
    <x v="2"/>
    <n v="127575.55"/>
    <n v="61034.33"/>
    <n v="66541.22"/>
    <n v="9335.2800000000007"/>
    <n v="57205.94"/>
    <n v="44.84"/>
    <n v="2977985.21"/>
    <n v="1224795"/>
    <n v="1753190.21"/>
    <n v="93897.46"/>
    <n v="11467.1"/>
    <n v="21183.1"/>
    <n v="126547.66"/>
  </r>
  <r>
    <n v="450"/>
    <d v="2024-03-30T00:00:00"/>
    <x v="3"/>
    <n v="1"/>
    <s v="March"/>
    <n v="3"/>
    <x v="1"/>
    <x v="3"/>
    <s v="Consulting"/>
    <x v="1"/>
    <n v="129432.22"/>
    <n v="79811.740000000005"/>
    <n v="49620.480000000003"/>
    <n v="10287.5"/>
    <n v="39332.980000000003"/>
    <n v="30.39"/>
    <n v="2106420.9300000002"/>
    <n v="1061420.57"/>
    <n v="1045000.36"/>
    <n v="24246.560000000001"/>
    <n v="4936.9399999999996"/>
    <n v="14569.6"/>
    <n v="43753.1"/>
  </r>
  <r>
    <n v="32"/>
    <d v="2024-03-30T00:00:00"/>
    <x v="3"/>
    <n v="1"/>
    <s v="March"/>
    <n v="3"/>
    <x v="3"/>
    <x v="0"/>
    <s v="Service Revenue"/>
    <x v="4"/>
    <n v="68985.27"/>
    <n v="40310.879999999997"/>
    <n v="28674.39"/>
    <n v="5442.57"/>
    <n v="23231.82"/>
    <n v="33.68"/>
    <n v="3068502.37"/>
    <n v="1204199.05"/>
    <n v="1864303.32"/>
    <n v="72153.039999999994"/>
    <n v="-9422.52"/>
    <n v="-16277.32"/>
    <n v="46453.2"/>
  </r>
  <r>
    <n v="375"/>
    <d v="2024-04-01T00:00:00"/>
    <x v="3"/>
    <n v="2"/>
    <s v="April"/>
    <n v="4"/>
    <x v="4"/>
    <x v="3"/>
    <s v="Consulting"/>
    <x v="4"/>
    <n v="132671.32999999999"/>
    <n v="77603.199999999997"/>
    <n v="55068.13"/>
    <n v="11319.03"/>
    <n v="43749.1"/>
    <n v="32.979999999999997"/>
    <n v="3499776.88"/>
    <n v="1042320.35"/>
    <n v="2457456.5299999998"/>
    <n v="59560.53"/>
    <n v="-44325.65"/>
    <n v="40409.57"/>
    <n v="55644.45"/>
  </r>
  <r>
    <n v="194"/>
    <d v="2024-04-09T00:00:00"/>
    <x v="3"/>
    <n v="2"/>
    <s v="April"/>
    <n v="4"/>
    <x v="5"/>
    <x v="3"/>
    <s v="Service Revenue"/>
    <x v="2"/>
    <n v="152687.51"/>
    <n v="122664.93"/>
    <n v="30022.58"/>
    <n v="6593.07"/>
    <n v="23429.51"/>
    <n v="15.34"/>
    <n v="507042.97"/>
    <n v="255833.88"/>
    <n v="251209.09"/>
    <n v="-2479.66"/>
    <n v="-44239.28"/>
    <n v="-34047.53"/>
    <n v="-80766.47"/>
  </r>
  <r>
    <n v="426"/>
    <d v="2024-04-10T00:00:00"/>
    <x v="3"/>
    <n v="2"/>
    <s v="April"/>
    <n v="4"/>
    <x v="2"/>
    <x v="0"/>
    <s v="Product Sales"/>
    <x v="6"/>
    <n v="125555.8"/>
    <n v="75963.62"/>
    <n v="49592.18"/>
    <n v="7828.86"/>
    <n v="41763.32"/>
    <n v="33.26"/>
    <n v="1654912.43"/>
    <n v="911601.45"/>
    <n v="743310.98"/>
    <n v="52793.3"/>
    <n v="-37914.550000000003"/>
    <n v="19605.009999999998"/>
    <n v="34483.760000000002"/>
  </r>
  <r>
    <n v="475"/>
    <d v="2024-04-14T00:00:00"/>
    <x v="3"/>
    <n v="2"/>
    <s v="April"/>
    <n v="4"/>
    <x v="5"/>
    <x v="3"/>
    <s v="Other Income"/>
    <x v="6"/>
    <n v="53001.919999999998"/>
    <n v="42435.66"/>
    <n v="10566.26"/>
    <n v="1238.27"/>
    <n v="9327.99"/>
    <n v="17.600000000000001"/>
    <n v="1967992.28"/>
    <n v="1087270.26"/>
    <n v="880722.02"/>
    <n v="10828.4"/>
    <n v="-9178.86"/>
    <n v="4457.3500000000004"/>
    <n v="6106.89"/>
  </r>
  <r>
    <n v="284"/>
    <d v="2024-04-22T00:00:00"/>
    <x v="3"/>
    <n v="2"/>
    <s v="April"/>
    <n v="4"/>
    <x v="2"/>
    <x v="3"/>
    <s v="Product Sales"/>
    <x v="3"/>
    <n v="141849.09"/>
    <n v="109570.38"/>
    <n v="32278.71"/>
    <n v="6308.11"/>
    <n v="25970.6"/>
    <n v="18.309999999999999"/>
    <n v="2353391.33"/>
    <n v="1297749.06"/>
    <n v="1055642.27"/>
    <n v="12263.97"/>
    <n v="-37244.78"/>
    <n v="14668.53"/>
    <n v="-10312.280000000001"/>
  </r>
  <r>
    <n v="577"/>
    <d v="2024-04-27T00:00:00"/>
    <x v="3"/>
    <n v="2"/>
    <s v="April"/>
    <n v="4"/>
    <x v="4"/>
    <x v="1"/>
    <s v="Consulting"/>
    <x v="6"/>
    <n v="148600.19"/>
    <n v="106463.3"/>
    <n v="42136.89"/>
    <n v="3987.97"/>
    <n v="38148.92"/>
    <n v="25.67"/>
    <n v="2587144.21"/>
    <n v="826827.9"/>
    <n v="1760316.31"/>
    <n v="35147.08"/>
    <n v="-68191.89"/>
    <n v="32.99"/>
    <n v="-33011.82"/>
  </r>
  <r>
    <n v="508"/>
    <d v="2024-04-28T00:00:00"/>
    <x v="3"/>
    <n v="2"/>
    <s v="April"/>
    <n v="4"/>
    <x v="1"/>
    <x v="0"/>
    <s v="Consulting"/>
    <x v="2"/>
    <n v="36668.199999999997"/>
    <n v="18025.61"/>
    <n v="18642.59"/>
    <n v="1647.68"/>
    <n v="16994.91"/>
    <n v="46.35"/>
    <n v="1658656.47"/>
    <n v="504670.43"/>
    <n v="1153986.04"/>
    <n v="7798.75"/>
    <n v="-31494.19"/>
    <n v="54298.28"/>
    <n v="30602.84"/>
  </r>
  <r>
    <n v="422"/>
    <d v="2024-04-30T00:00:00"/>
    <x v="3"/>
    <n v="2"/>
    <s v="April"/>
    <n v="4"/>
    <x v="3"/>
    <x v="3"/>
    <s v="Service Revenue"/>
    <x v="3"/>
    <n v="87344.68"/>
    <n v="54455.24"/>
    <n v="32889.440000000002"/>
    <n v="6576.51"/>
    <n v="26312.93"/>
    <n v="30.13"/>
    <n v="4649863.68"/>
    <n v="1426567.5"/>
    <n v="3223296.18"/>
    <n v="20652.28"/>
    <n v="-56075.32"/>
    <n v="21200.85"/>
    <n v="-14222.19"/>
  </r>
  <r>
    <n v="29"/>
    <d v="2024-04-30T00:00:00"/>
    <x v="3"/>
    <n v="2"/>
    <s v="April"/>
    <n v="4"/>
    <x v="5"/>
    <x v="0"/>
    <s v="Service Revenue"/>
    <x v="2"/>
    <n v="82181.61"/>
    <n v="51046.11"/>
    <n v="31135.5"/>
    <n v="6447.23"/>
    <n v="24688.27"/>
    <n v="30.04"/>
    <n v="665074.41"/>
    <n v="233424.34"/>
    <n v="431650.07"/>
    <n v="51756.24"/>
    <n v="19520.68"/>
    <n v="11167.74"/>
    <n v="82444.66"/>
  </r>
  <r>
    <n v="388"/>
    <d v="2024-05-03T00:00:00"/>
    <x v="3"/>
    <n v="2"/>
    <s v="May"/>
    <n v="5"/>
    <x v="3"/>
    <x v="3"/>
    <s v="Consulting"/>
    <x v="3"/>
    <n v="31244.26"/>
    <n v="18746.759999999998"/>
    <n v="12497.5"/>
    <n v="2096.6799999999998"/>
    <n v="10400.82"/>
    <n v="33.29"/>
    <n v="3112903.52"/>
    <n v="1943618.82"/>
    <n v="1169284.7"/>
    <n v="34180.870000000003"/>
    <n v="-21872.2"/>
    <n v="40967.5"/>
    <n v="53276.17"/>
  </r>
  <r>
    <n v="531"/>
    <d v="2024-05-04T00:00:00"/>
    <x v="3"/>
    <n v="2"/>
    <s v="May"/>
    <n v="5"/>
    <x v="5"/>
    <x v="3"/>
    <s v="Other Income"/>
    <x v="1"/>
    <n v="152565.54999999999"/>
    <n v="81921.84"/>
    <n v="70643.710000000006"/>
    <n v="13485.02"/>
    <n v="57158.69"/>
    <n v="37.47"/>
    <n v="2323387.14"/>
    <n v="1134782.79"/>
    <n v="1188604.3500000001"/>
    <n v="35754.730000000003"/>
    <n v="-68308.72"/>
    <n v="50956.44"/>
    <n v="18402.45"/>
  </r>
  <r>
    <n v="298"/>
    <d v="2024-05-09T00:00:00"/>
    <x v="3"/>
    <n v="2"/>
    <s v="May"/>
    <n v="5"/>
    <x v="0"/>
    <x v="1"/>
    <s v="Other Income"/>
    <x v="5"/>
    <n v="89362.35"/>
    <n v="69589.3"/>
    <n v="19773.05"/>
    <n v="4352.75"/>
    <n v="15420.3"/>
    <n v="17.260000000000002"/>
    <n v="3335179.45"/>
    <n v="1978589.06"/>
    <n v="1356590.39"/>
    <n v="48122.09"/>
    <n v="-27101.51"/>
    <n v="-19893.48"/>
    <n v="1127.0999999999999"/>
  </r>
  <r>
    <n v="12"/>
    <d v="2024-05-23T00:00:00"/>
    <x v="3"/>
    <n v="2"/>
    <s v="May"/>
    <n v="5"/>
    <x v="1"/>
    <x v="2"/>
    <s v="Other Income"/>
    <x v="5"/>
    <n v="145457.76999999999"/>
    <n v="95508.96"/>
    <n v="49948.81"/>
    <n v="7598.1"/>
    <n v="42350.71"/>
    <n v="29.12"/>
    <n v="4578594.7300000004"/>
    <n v="1348299.97"/>
    <n v="3230294.76"/>
    <n v="51760.72"/>
    <n v="-68864.639999999999"/>
    <n v="6866.06"/>
    <n v="-10237.86"/>
  </r>
  <r>
    <n v="168"/>
    <d v="2024-05-26T00:00:00"/>
    <x v="3"/>
    <n v="2"/>
    <s v="May"/>
    <n v="5"/>
    <x v="1"/>
    <x v="1"/>
    <s v="Other Income"/>
    <x v="0"/>
    <n v="128698.46"/>
    <n v="79928.100000000006"/>
    <n v="48770.36"/>
    <n v="7315.56"/>
    <n v="41454.800000000003"/>
    <n v="32.21"/>
    <n v="3429380.6"/>
    <n v="1605542.54"/>
    <n v="1823838.06"/>
    <n v="16436.650000000001"/>
    <n v="-18749.740000000002"/>
    <n v="40640.36"/>
    <n v="38327.269999999997"/>
  </r>
  <r>
    <n v="427"/>
    <d v="2024-05-28T00:00:00"/>
    <x v="3"/>
    <n v="2"/>
    <s v="May"/>
    <n v="5"/>
    <x v="3"/>
    <x v="3"/>
    <s v="Service Revenue"/>
    <x v="3"/>
    <n v="25254.78"/>
    <n v="14881.97"/>
    <n v="10372.81"/>
    <n v="1836.29"/>
    <n v="8536.52"/>
    <n v="33.799999999999997"/>
    <n v="2654171.86"/>
    <n v="1578782.26"/>
    <n v="1075389.6000000001"/>
    <n v="-13031.06"/>
    <n v="-14617.66"/>
    <n v="11297.93"/>
    <n v="-16350.79"/>
  </r>
  <r>
    <n v="592"/>
    <d v="2024-05-28T00:00:00"/>
    <x v="3"/>
    <n v="2"/>
    <s v="May"/>
    <n v="5"/>
    <x v="5"/>
    <x v="3"/>
    <s v="Consulting"/>
    <x v="6"/>
    <n v="148424.28"/>
    <n v="98811.24"/>
    <n v="49613.04"/>
    <n v="12067.73"/>
    <n v="37545.31"/>
    <n v="25.3"/>
    <n v="3471511.24"/>
    <n v="1593714.51"/>
    <n v="1877796.73"/>
    <n v="9432.67"/>
    <n v="-28626.71"/>
    <n v="-10075.16"/>
    <n v="-29269.200000000001"/>
  </r>
  <r>
    <n v="238"/>
    <d v="2024-06-02T00:00:00"/>
    <x v="3"/>
    <n v="2"/>
    <s v="June"/>
    <n v="6"/>
    <x v="0"/>
    <x v="3"/>
    <s v="Consulting"/>
    <x v="3"/>
    <n v="92086.48"/>
    <n v="42934.67"/>
    <n v="49151.81"/>
    <n v="5317.12"/>
    <n v="43834.69"/>
    <n v="47.6"/>
    <n v="2504937.37"/>
    <n v="835832.94"/>
    <n v="1669104.43"/>
    <n v="17833.009999999998"/>
    <n v="14364.97"/>
    <n v="58119.25"/>
    <n v="90317.23"/>
  </r>
  <r>
    <n v="222"/>
    <d v="2024-06-02T00:00:00"/>
    <x v="3"/>
    <n v="2"/>
    <s v="June"/>
    <n v="6"/>
    <x v="5"/>
    <x v="3"/>
    <s v="Consulting"/>
    <x v="0"/>
    <n v="63257.7"/>
    <n v="45807.08"/>
    <n v="17450.62"/>
    <n v="2334.3000000000002"/>
    <n v="15116.32"/>
    <n v="23.9"/>
    <n v="958515.75"/>
    <n v="377744.89"/>
    <n v="580770.86"/>
    <n v="6747.78"/>
    <n v="14271.19"/>
    <n v="-8665.2099999999991"/>
    <n v="12353.76"/>
  </r>
  <r>
    <n v="269"/>
    <d v="2024-06-02T00:00:00"/>
    <x v="3"/>
    <n v="2"/>
    <s v="June"/>
    <n v="6"/>
    <x v="3"/>
    <x v="2"/>
    <s v="Service Revenue"/>
    <x v="1"/>
    <n v="27386.21"/>
    <n v="18230.52"/>
    <n v="9155.69"/>
    <n v="1126.4000000000001"/>
    <n v="8029.29"/>
    <n v="29.32"/>
    <n v="2526144.11"/>
    <n v="1599131.08"/>
    <n v="927013.03"/>
    <n v="9952.1200000000008"/>
    <n v="13980.16"/>
    <n v="-21145.94"/>
    <n v="2786.34"/>
  </r>
  <r>
    <n v="364"/>
    <d v="2024-06-04T00:00:00"/>
    <x v="3"/>
    <n v="2"/>
    <s v="June"/>
    <n v="6"/>
    <x v="5"/>
    <x v="0"/>
    <s v="Other Income"/>
    <x v="5"/>
    <n v="45937.42"/>
    <n v="23251.54"/>
    <n v="22685.88"/>
    <n v="5245.61"/>
    <n v="17440.27"/>
    <n v="37.97"/>
    <n v="4747677.28"/>
    <n v="2641282.9700000002"/>
    <n v="2106394.31"/>
    <n v="-12127.34"/>
    <n v="-69865.37"/>
    <n v="-2189.92"/>
    <n v="-84182.63"/>
  </r>
  <r>
    <n v="220"/>
    <d v="2024-06-08T00:00:00"/>
    <x v="3"/>
    <n v="2"/>
    <s v="June"/>
    <n v="6"/>
    <x v="1"/>
    <x v="1"/>
    <s v="Consulting"/>
    <x v="1"/>
    <n v="110637.65"/>
    <n v="71080.58"/>
    <n v="39557.07"/>
    <n v="4125.3599999999997"/>
    <n v="35431.71"/>
    <n v="32.03"/>
    <n v="3989057.68"/>
    <n v="1430331.49"/>
    <n v="2558726.19"/>
    <n v="45167.34"/>
    <n v="-41572.589999999997"/>
    <n v="-26617.16"/>
    <n v="-23022.41"/>
  </r>
  <r>
    <n v="246"/>
    <d v="2024-06-10T00:00:00"/>
    <x v="3"/>
    <n v="2"/>
    <s v="June"/>
    <n v="6"/>
    <x v="4"/>
    <x v="2"/>
    <s v="Consulting"/>
    <x v="5"/>
    <n v="59232.18"/>
    <n v="27507.67"/>
    <n v="31724.51"/>
    <n v="2732.22"/>
    <n v="28992.29"/>
    <n v="48.95"/>
    <n v="1288497.97"/>
    <n v="768857.23"/>
    <n v="519640.74"/>
    <n v="21590.59"/>
    <n v="25045.919999999998"/>
    <n v="18162.23"/>
    <n v="64798.74"/>
  </r>
  <r>
    <n v="346"/>
    <d v="2024-06-10T00:00:00"/>
    <x v="3"/>
    <n v="2"/>
    <s v="June"/>
    <n v="6"/>
    <x v="0"/>
    <x v="1"/>
    <s v="Other Income"/>
    <x v="2"/>
    <n v="169817.14"/>
    <n v="133998.56"/>
    <n v="35818.58"/>
    <n v="6734.63"/>
    <n v="29083.95"/>
    <n v="17.13"/>
    <n v="3334192.94"/>
    <n v="1371301.05"/>
    <n v="1962891.89"/>
    <n v="59275.78"/>
    <n v="-16870.599999999999"/>
    <n v="27743.81"/>
    <n v="70148.990000000005"/>
  </r>
  <r>
    <n v="239"/>
    <d v="2024-06-11T00:00:00"/>
    <x v="3"/>
    <n v="2"/>
    <s v="June"/>
    <n v="6"/>
    <x v="4"/>
    <x v="0"/>
    <s v="Product Sales"/>
    <x v="2"/>
    <n v="62506.46"/>
    <n v="50344.7"/>
    <n v="12161.76"/>
    <n v="1380.08"/>
    <n v="10781.68"/>
    <n v="17.25"/>
    <n v="4781434.1500000004"/>
    <n v="3098023.72"/>
    <n v="1683410.43"/>
    <n v="37719.5"/>
    <n v="28114.37"/>
    <n v="16953.98"/>
    <n v="82787.850000000006"/>
  </r>
  <r>
    <n v="574"/>
    <d v="2024-06-14T00:00:00"/>
    <x v="3"/>
    <n v="2"/>
    <s v="June"/>
    <n v="6"/>
    <x v="3"/>
    <x v="0"/>
    <s v="Service Revenue"/>
    <x v="4"/>
    <n v="105630.16"/>
    <n v="69644.56"/>
    <n v="35985.599999999999"/>
    <n v="2972.51"/>
    <n v="33013.089999999997"/>
    <n v="31.25"/>
    <n v="4012577.27"/>
    <n v="1583535.24"/>
    <n v="2429042.0299999998"/>
    <n v="35526.57"/>
    <n v="10936.95"/>
    <n v="-2071.66"/>
    <n v="44391.86"/>
  </r>
  <r>
    <n v="184"/>
    <d v="2024-06-18T00:00:00"/>
    <x v="3"/>
    <n v="2"/>
    <s v="June"/>
    <n v="6"/>
    <x v="0"/>
    <x v="1"/>
    <s v="Product Sales"/>
    <x v="0"/>
    <n v="58858.69"/>
    <n v="29105.119999999999"/>
    <n v="29753.57"/>
    <n v="2725.96"/>
    <n v="27027.61"/>
    <n v="45.92"/>
    <n v="1684921.03"/>
    <n v="452316.08"/>
    <n v="1232604.95"/>
    <n v="42401.27"/>
    <n v="-41617.160000000003"/>
    <n v="42453.48"/>
    <n v="43237.59"/>
  </r>
  <r>
    <n v="200"/>
    <d v="2024-06-20T00:00:00"/>
    <x v="3"/>
    <n v="2"/>
    <s v="June"/>
    <n v="6"/>
    <x v="2"/>
    <x v="0"/>
    <s v="Consulting"/>
    <x v="6"/>
    <n v="82358.11"/>
    <n v="37896.71"/>
    <n v="44461.4"/>
    <n v="6527.18"/>
    <n v="37934.22"/>
    <n v="46.06"/>
    <n v="2866156.69"/>
    <n v="1303162.78"/>
    <n v="1562993.91"/>
    <n v="21184.49"/>
    <n v="-5425.95"/>
    <n v="-35522.15"/>
    <n v="-19763.61"/>
  </r>
  <r>
    <n v="54"/>
    <d v="2024-06-21T00:00:00"/>
    <x v="3"/>
    <n v="2"/>
    <s v="June"/>
    <n v="6"/>
    <x v="3"/>
    <x v="2"/>
    <s v="Other Income"/>
    <x v="4"/>
    <n v="103353.72"/>
    <n v="69264.37"/>
    <n v="34089.35"/>
    <n v="4693.29"/>
    <n v="29396.06"/>
    <n v="28.44"/>
    <n v="3062495.83"/>
    <n v="1852761.57"/>
    <n v="1209734.26"/>
    <n v="43933.79"/>
    <n v="2081.31"/>
    <n v="40531.5"/>
    <n v="86546.6"/>
  </r>
  <r>
    <n v="106"/>
    <d v="2024-06-29T00:00:00"/>
    <x v="3"/>
    <n v="2"/>
    <s v="June"/>
    <n v="6"/>
    <x v="3"/>
    <x v="2"/>
    <s v="Service Revenue"/>
    <x v="6"/>
    <n v="107331.28"/>
    <n v="85494.1"/>
    <n v="21837.18"/>
    <n v="1893.03"/>
    <n v="19944.150000000001"/>
    <n v="18.579999999999998"/>
    <n v="1049494.6100000001"/>
    <n v="452205.83"/>
    <n v="597288.78"/>
    <n v="64654.15"/>
    <n v="-38384.39"/>
    <n v="10723.48"/>
    <n v="36993.24"/>
  </r>
  <r>
    <n v="451"/>
    <d v="2024-07-03T00:00:00"/>
    <x v="3"/>
    <n v="3"/>
    <s v="July"/>
    <n v="7"/>
    <x v="5"/>
    <x v="3"/>
    <s v="Other Income"/>
    <x v="1"/>
    <n v="141034.35"/>
    <n v="88648.9"/>
    <n v="52385.45"/>
    <n v="6114.71"/>
    <n v="46270.74"/>
    <n v="32.81"/>
    <n v="4852720.3600000003"/>
    <n v="2601300.79"/>
    <n v="2251419.5699999998"/>
    <n v="92841.53"/>
    <n v="-27289.5"/>
    <n v="7510.03"/>
    <n v="73062.06"/>
  </r>
  <r>
    <n v="230"/>
    <d v="2024-07-06T00:00:00"/>
    <x v="3"/>
    <n v="3"/>
    <s v="July"/>
    <n v="7"/>
    <x v="5"/>
    <x v="3"/>
    <s v="Other Income"/>
    <x v="0"/>
    <n v="26538.19"/>
    <n v="16499.2"/>
    <n v="10038.99"/>
    <n v="2447.4499999999998"/>
    <n v="7591.54"/>
    <n v="28.61"/>
    <n v="2835645.26"/>
    <n v="1477419.12"/>
    <n v="1358226.14"/>
    <n v="2540.65"/>
    <n v="7399.14"/>
    <n v="37292.15"/>
    <n v="47231.94"/>
  </r>
  <r>
    <n v="252"/>
    <d v="2024-07-15T00:00:00"/>
    <x v="3"/>
    <n v="3"/>
    <s v="July"/>
    <n v="7"/>
    <x v="3"/>
    <x v="2"/>
    <s v="Consulting"/>
    <x v="3"/>
    <n v="139993.93"/>
    <n v="106943.8"/>
    <n v="33050.129999999997"/>
    <n v="5018.5600000000004"/>
    <n v="28031.57"/>
    <n v="20.02"/>
    <n v="1863189.08"/>
    <n v="708231.81"/>
    <n v="1154957.27"/>
    <n v="55041.279999999999"/>
    <n v="11677.95"/>
    <n v="-21838.6"/>
    <n v="44880.63"/>
  </r>
  <r>
    <n v="4"/>
    <d v="2024-07-18T00:00:00"/>
    <x v="3"/>
    <n v="3"/>
    <s v="July"/>
    <n v="7"/>
    <x v="1"/>
    <x v="3"/>
    <s v="Service Revenue"/>
    <x v="0"/>
    <n v="35751"/>
    <n v="17421.03"/>
    <n v="18329.97"/>
    <n v="1523.18"/>
    <n v="16806.79"/>
    <n v="47.01"/>
    <n v="924993.32"/>
    <n v="483959.01"/>
    <n v="441034.31"/>
    <n v="-7498.12"/>
    <n v="-38102.44"/>
    <n v="44487.53"/>
    <n v="-1113.03"/>
  </r>
  <r>
    <n v="102"/>
    <d v="2024-07-18T00:00:00"/>
    <x v="3"/>
    <n v="3"/>
    <s v="July"/>
    <n v="7"/>
    <x v="2"/>
    <x v="2"/>
    <s v="Service Revenue"/>
    <x v="0"/>
    <n v="63320.82"/>
    <n v="48894.91"/>
    <n v="14425.91"/>
    <n v="2246.14"/>
    <n v="12179.77"/>
    <n v="19.239999999999998"/>
    <n v="2816678.09"/>
    <n v="1108907.43"/>
    <n v="1707770.66"/>
    <n v="29615.84"/>
    <n v="-53647.61"/>
    <n v="-891.85"/>
    <n v="-24923.62"/>
  </r>
  <r>
    <n v="576"/>
    <d v="2024-07-19T00:00:00"/>
    <x v="3"/>
    <n v="3"/>
    <s v="July"/>
    <n v="7"/>
    <x v="1"/>
    <x v="0"/>
    <s v="Other Income"/>
    <x v="5"/>
    <n v="125862.28"/>
    <n v="97005.07"/>
    <n v="28857.21"/>
    <n v="6694.16"/>
    <n v="22163.05"/>
    <n v="17.61"/>
    <n v="4639066.57"/>
    <n v="1335771.33"/>
    <n v="3303295.24"/>
    <n v="35693.129999999997"/>
    <n v="4050.95"/>
    <n v="35692.68"/>
    <n v="75436.759999999995"/>
  </r>
  <r>
    <n v="63"/>
    <d v="2024-07-21T00:00:00"/>
    <x v="3"/>
    <n v="3"/>
    <s v="July"/>
    <n v="7"/>
    <x v="2"/>
    <x v="2"/>
    <s v="Product Sales"/>
    <x v="1"/>
    <n v="65650.929999999993"/>
    <n v="43997.86"/>
    <n v="21653.07"/>
    <n v="1921.55"/>
    <n v="19731.52"/>
    <n v="30.06"/>
    <n v="2733648.11"/>
    <n v="1336035.3600000001"/>
    <n v="1397612.75"/>
    <n v="16471.03"/>
    <n v="7091.22"/>
    <n v="-29340.17"/>
    <n v="-5777.92"/>
  </r>
  <r>
    <n v="383"/>
    <d v="2024-07-24T00:00:00"/>
    <x v="3"/>
    <n v="3"/>
    <s v="July"/>
    <n v="7"/>
    <x v="0"/>
    <x v="3"/>
    <s v="Service Revenue"/>
    <x v="0"/>
    <n v="86526.94"/>
    <n v="53516.2"/>
    <n v="33010.74"/>
    <n v="4969.54"/>
    <n v="28041.200000000001"/>
    <n v="32.409999999999997"/>
    <n v="3787216.15"/>
    <n v="1151852.1499999999"/>
    <n v="2635364"/>
    <n v="13852.34"/>
    <n v="-51948.18"/>
    <n v="-13752.94"/>
    <n v="-51848.78"/>
  </r>
  <r>
    <n v="409"/>
    <d v="2024-07-24T00:00:00"/>
    <x v="3"/>
    <n v="3"/>
    <s v="July"/>
    <n v="7"/>
    <x v="1"/>
    <x v="2"/>
    <s v="Other Income"/>
    <x v="6"/>
    <n v="117077.67"/>
    <n v="78228"/>
    <n v="38849.67"/>
    <n v="3552.96"/>
    <n v="35296.71"/>
    <n v="30.15"/>
    <n v="4241933.54"/>
    <n v="1361366.37"/>
    <n v="2880567.17"/>
    <n v="63142.44"/>
    <n v="7267.1"/>
    <n v="31489.95"/>
    <n v="101899.49"/>
  </r>
  <r>
    <n v="406"/>
    <d v="2024-07-30T00:00:00"/>
    <x v="3"/>
    <n v="3"/>
    <s v="July"/>
    <n v="7"/>
    <x v="0"/>
    <x v="1"/>
    <s v="Product Sales"/>
    <x v="0"/>
    <n v="69668.600000000006"/>
    <n v="31517.5"/>
    <n v="38151.1"/>
    <n v="6270.54"/>
    <n v="31880.560000000001"/>
    <n v="45.76"/>
    <n v="1785316.95"/>
    <n v="970932.7"/>
    <n v="814384.25"/>
    <n v="3796.26"/>
    <n v="-11517.22"/>
    <n v="54147.42"/>
    <n v="46426.46"/>
  </r>
  <r>
    <n v="225"/>
    <d v="2024-07-30T00:00:00"/>
    <x v="3"/>
    <n v="3"/>
    <s v="July"/>
    <n v="7"/>
    <x v="1"/>
    <x v="2"/>
    <s v="Service Revenue"/>
    <x v="0"/>
    <n v="146182.70000000001"/>
    <n v="100622.7"/>
    <n v="45560"/>
    <n v="4018.01"/>
    <n v="41541.99"/>
    <n v="28.42"/>
    <n v="2120227.1"/>
    <n v="1341509.93"/>
    <n v="778717.17"/>
    <n v="51574.080000000002"/>
    <n v="-26727.09"/>
    <n v="5769.96"/>
    <n v="30616.95"/>
  </r>
  <r>
    <n v="591"/>
    <d v="2024-08-01T00:00:00"/>
    <x v="3"/>
    <n v="3"/>
    <s v="August"/>
    <n v="8"/>
    <x v="0"/>
    <x v="0"/>
    <s v="Other Income"/>
    <x v="0"/>
    <n v="137726.60999999999"/>
    <n v="94272.35"/>
    <n v="43454.26"/>
    <n v="4514.3"/>
    <n v="38939.96"/>
    <n v="28.27"/>
    <n v="2493279.5499999998"/>
    <n v="1183249.02"/>
    <n v="1310030.53"/>
    <n v="76863.460000000006"/>
    <n v="-25635.43"/>
    <n v="51874.73"/>
    <n v="103102.76"/>
  </r>
  <r>
    <n v="463"/>
    <d v="2024-08-04T00:00:00"/>
    <x v="3"/>
    <n v="3"/>
    <s v="August"/>
    <n v="8"/>
    <x v="2"/>
    <x v="0"/>
    <s v="Service Revenue"/>
    <x v="2"/>
    <n v="153336.35"/>
    <n v="90446.64"/>
    <n v="62889.71"/>
    <n v="15521.23"/>
    <n v="47368.480000000003"/>
    <n v="30.89"/>
    <n v="2598139.77"/>
    <n v="1472558.72"/>
    <n v="1125581.05"/>
    <n v="49553.04"/>
    <n v="-27504.65"/>
    <n v="-1711.69"/>
    <n v="20336.7"/>
  </r>
  <r>
    <n v="326"/>
    <d v="2024-08-14T00:00:00"/>
    <x v="3"/>
    <n v="3"/>
    <s v="August"/>
    <n v="8"/>
    <x v="3"/>
    <x v="3"/>
    <s v="Service Revenue"/>
    <x v="4"/>
    <n v="119669.46"/>
    <n v="62699.77"/>
    <n v="56969.69"/>
    <n v="5095.33"/>
    <n v="51874.36"/>
    <n v="43.35"/>
    <n v="3058092.04"/>
    <n v="1561480.98"/>
    <n v="1496611.06"/>
    <n v="38736.879999999997"/>
    <n v="-14354.38"/>
    <n v="45649.34"/>
    <n v="70031.839999999997"/>
  </r>
  <r>
    <n v="338"/>
    <d v="2024-08-20T00:00:00"/>
    <x v="3"/>
    <n v="3"/>
    <s v="August"/>
    <n v="8"/>
    <x v="3"/>
    <x v="2"/>
    <s v="Product Sales"/>
    <x v="3"/>
    <n v="177452.92"/>
    <n v="96903.17"/>
    <n v="80549.75"/>
    <n v="19722.849999999999"/>
    <n v="60826.9"/>
    <n v="34.28"/>
    <n v="2440552.41"/>
    <n v="949393.24"/>
    <n v="1491159.17"/>
    <n v="34854.86"/>
    <n v="-64723.47"/>
    <n v="29201.13"/>
    <n v="-667.48"/>
  </r>
  <r>
    <n v="22"/>
    <d v="2024-08-25T00:00:00"/>
    <x v="3"/>
    <n v="3"/>
    <s v="August"/>
    <n v="8"/>
    <x v="3"/>
    <x v="3"/>
    <s v="Consulting"/>
    <x v="0"/>
    <n v="151539.79"/>
    <n v="122466.93"/>
    <n v="29072.86"/>
    <n v="2762.78"/>
    <n v="26310.080000000002"/>
    <n v="17.36"/>
    <n v="4063180.28"/>
    <n v="1974633.94"/>
    <n v="2088546.34"/>
    <n v="34713.760000000002"/>
    <n v="-27946.42"/>
    <n v="38466.83"/>
    <n v="45234.17"/>
  </r>
  <r>
    <n v="34"/>
    <d v="2024-08-30T00:00:00"/>
    <x v="3"/>
    <n v="3"/>
    <s v="August"/>
    <n v="8"/>
    <x v="1"/>
    <x v="1"/>
    <s v="Consulting"/>
    <x v="2"/>
    <n v="163974.59"/>
    <n v="108734.73"/>
    <n v="55239.86"/>
    <n v="13034.25"/>
    <n v="42205.61"/>
    <n v="25.74"/>
    <n v="523850.03"/>
    <n v="335278.09000000003"/>
    <n v="188571.94"/>
    <n v="51465.51"/>
    <n v="2289.61"/>
    <n v="42086.15"/>
    <n v="95841.27"/>
  </r>
  <r>
    <n v="459"/>
    <d v="2024-09-08T00:00:00"/>
    <x v="3"/>
    <n v="3"/>
    <s v="September"/>
    <n v="9"/>
    <x v="0"/>
    <x v="3"/>
    <s v="Other Income"/>
    <x v="5"/>
    <n v="118382.72"/>
    <n v="74725.63"/>
    <n v="43657.09"/>
    <n v="7416.1"/>
    <n v="36240.99"/>
    <n v="30.61"/>
    <n v="2004991.37"/>
    <n v="917734.83"/>
    <n v="1087256.54"/>
    <n v="22045.46"/>
    <n v="10517.44"/>
    <n v="-21422.3"/>
    <n v="11140.6"/>
  </r>
  <r>
    <n v="452"/>
    <d v="2024-09-08T00:00:00"/>
    <x v="3"/>
    <n v="3"/>
    <s v="September"/>
    <n v="9"/>
    <x v="0"/>
    <x v="1"/>
    <s v="Product Sales"/>
    <x v="4"/>
    <n v="134628.23000000001"/>
    <n v="73144.05"/>
    <n v="61484.18"/>
    <n v="9588.06"/>
    <n v="51896.12"/>
    <n v="38.549999999999997"/>
    <n v="1055524.3999999999"/>
    <n v="350847.88"/>
    <n v="704676.52"/>
    <n v="21971.59"/>
    <n v="-66073.490000000005"/>
    <n v="57728.38"/>
    <n v="13626.48"/>
  </r>
  <r>
    <n v="301"/>
    <d v="2024-09-11T00:00:00"/>
    <x v="3"/>
    <n v="3"/>
    <s v="September"/>
    <n v="9"/>
    <x v="4"/>
    <x v="3"/>
    <s v="Consulting"/>
    <x v="0"/>
    <n v="37434.449999999997"/>
    <n v="21169.66"/>
    <n v="16264.79"/>
    <n v="1344.71"/>
    <n v="14920.08"/>
    <n v="39.86"/>
    <n v="577174.02"/>
    <n v="355909.35"/>
    <n v="221264.67"/>
    <n v="41412.76"/>
    <n v="-39104.400000000001"/>
    <n v="-26735.54"/>
    <n v="-24427.18"/>
  </r>
  <r>
    <n v="215"/>
    <d v="2024-09-16T00:00:00"/>
    <x v="3"/>
    <n v="3"/>
    <s v="September"/>
    <n v="9"/>
    <x v="3"/>
    <x v="1"/>
    <s v="Consulting"/>
    <x v="0"/>
    <n v="143747.97"/>
    <n v="109678.39999999999"/>
    <n v="34069.57"/>
    <n v="6279.45"/>
    <n v="27790.12"/>
    <n v="19.329999999999998"/>
    <n v="898721.21"/>
    <n v="399976.88"/>
    <n v="498744.33"/>
    <n v="4002.07"/>
    <n v="-29245.7"/>
    <n v="710.65"/>
    <n v="-24532.98"/>
  </r>
  <r>
    <n v="213"/>
    <d v="2024-09-25T00:00:00"/>
    <x v="3"/>
    <n v="3"/>
    <s v="September"/>
    <n v="9"/>
    <x v="4"/>
    <x v="1"/>
    <s v="Service Revenue"/>
    <x v="2"/>
    <n v="106720.06"/>
    <n v="73000.929999999993"/>
    <n v="33719.129999999997"/>
    <n v="6391.8"/>
    <n v="27327.33"/>
    <n v="25.61"/>
    <n v="4189090.12"/>
    <n v="1605941.86"/>
    <n v="2583148.2599999998"/>
    <n v="55971.43"/>
    <n v="-17142.189999999999"/>
    <n v="39339.4"/>
    <n v="78168.639999999999"/>
  </r>
  <r>
    <n v="73"/>
    <d v="2024-09-25T00:00:00"/>
    <x v="3"/>
    <n v="3"/>
    <s v="September"/>
    <n v="9"/>
    <x v="4"/>
    <x v="3"/>
    <s v="Product Sales"/>
    <x v="2"/>
    <n v="130345.33"/>
    <n v="69181.3"/>
    <n v="61164.03"/>
    <n v="14770.71"/>
    <n v="46393.32"/>
    <n v="35.590000000000003"/>
    <n v="4038552.56"/>
    <n v="1154074.55"/>
    <n v="2884478.01"/>
    <n v="49799.78"/>
    <n v="17911.830000000002"/>
    <n v="54473.2"/>
    <n v="122184.81"/>
  </r>
  <r>
    <n v="513"/>
    <d v="2024-09-27T00:00:00"/>
    <x v="3"/>
    <n v="3"/>
    <s v="September"/>
    <n v="9"/>
    <x v="2"/>
    <x v="2"/>
    <s v="Product Sales"/>
    <x v="0"/>
    <n v="80069.02"/>
    <n v="56250.84"/>
    <n v="23818.18"/>
    <n v="4586.8900000000003"/>
    <n v="19231.29"/>
    <n v="24.02"/>
    <n v="3718950.4"/>
    <n v="1328622.1499999999"/>
    <n v="2390328.25"/>
    <n v="14484.77"/>
    <n v="-57474.879999999997"/>
    <n v="25551"/>
    <n v="-17439.11"/>
  </r>
  <r>
    <n v="127"/>
    <d v="2024-09-29T00:00:00"/>
    <x v="3"/>
    <n v="3"/>
    <s v="September"/>
    <n v="9"/>
    <x v="2"/>
    <x v="0"/>
    <s v="Service Revenue"/>
    <x v="5"/>
    <n v="177091.64"/>
    <n v="110807.66"/>
    <n v="66283.98"/>
    <n v="9613.1299999999992"/>
    <n v="56670.85"/>
    <n v="32"/>
    <n v="1039230.51"/>
    <n v="664760.27"/>
    <n v="374470.24"/>
    <n v="28272.959999999999"/>
    <n v="3718.02"/>
    <n v="36859.980000000003"/>
    <n v="68850.960000000006"/>
  </r>
  <r>
    <n v="70"/>
    <d v="2024-10-01T00:00:00"/>
    <x v="3"/>
    <n v="4"/>
    <s v="October"/>
    <n v="10"/>
    <x v="5"/>
    <x v="0"/>
    <s v="Service Revenue"/>
    <x v="1"/>
    <n v="28782.12"/>
    <n v="22217.97"/>
    <n v="6564.15"/>
    <n v="548.87"/>
    <n v="6015.28"/>
    <n v="20.9"/>
    <n v="4436157.53"/>
    <n v="2047618.76"/>
    <n v="2388538.77"/>
    <n v="51140.7"/>
    <n v="9878.32"/>
    <n v="59793.41"/>
    <n v="120812.43"/>
  </r>
  <r>
    <n v="554"/>
    <d v="2024-10-01T00:00:00"/>
    <x v="3"/>
    <n v="4"/>
    <s v="October"/>
    <n v="10"/>
    <x v="0"/>
    <x v="0"/>
    <s v="Service Revenue"/>
    <x v="3"/>
    <n v="169835.13"/>
    <n v="89404.22"/>
    <n v="80430.91"/>
    <n v="16484.669999999998"/>
    <n v="63946.239999999998"/>
    <n v="37.65"/>
    <n v="4399029.78"/>
    <n v="2016307.93"/>
    <n v="2382721.85"/>
    <n v="87487.5"/>
    <n v="11501.53"/>
    <n v="-13932.48"/>
    <n v="85056.55"/>
  </r>
  <r>
    <n v="309"/>
    <d v="2024-10-01T00:00:00"/>
    <x v="3"/>
    <n v="4"/>
    <s v="October"/>
    <n v="10"/>
    <x v="0"/>
    <x v="3"/>
    <s v="Service Revenue"/>
    <x v="6"/>
    <n v="139301.04"/>
    <n v="77453.08"/>
    <n v="61847.96"/>
    <n v="13386.92"/>
    <n v="48461.04"/>
    <n v="34.79"/>
    <n v="4987570.55"/>
    <n v="1306795.3700000001"/>
    <n v="3680775.18"/>
    <n v="90250.31"/>
    <n v="-7736.95"/>
    <n v="57338.26"/>
    <n v="139851.62"/>
  </r>
  <r>
    <n v="218"/>
    <d v="2024-10-03T00:00:00"/>
    <x v="3"/>
    <n v="4"/>
    <s v="October"/>
    <n v="10"/>
    <x v="3"/>
    <x v="1"/>
    <s v="Product Sales"/>
    <x v="3"/>
    <n v="74831.83"/>
    <n v="46865.8"/>
    <n v="27966.03"/>
    <n v="3311.88"/>
    <n v="24654.15"/>
    <n v="32.950000000000003"/>
    <n v="3382142.19"/>
    <n v="2169956.88"/>
    <n v="1212185.31"/>
    <n v="42933.599999999999"/>
    <n v="-34218.589999999997"/>
    <n v="24781.74"/>
    <n v="33496.75"/>
  </r>
  <r>
    <n v="437"/>
    <d v="2024-10-04T00:00:00"/>
    <x v="3"/>
    <n v="4"/>
    <s v="October"/>
    <n v="10"/>
    <x v="0"/>
    <x v="2"/>
    <s v="Service Revenue"/>
    <x v="4"/>
    <n v="69790.12"/>
    <n v="41141.97"/>
    <n v="28648.15"/>
    <n v="4207.3999999999996"/>
    <n v="24440.75"/>
    <n v="35.020000000000003"/>
    <n v="2950498.96"/>
    <n v="926314.77"/>
    <n v="2024184.19"/>
    <n v="49740.480000000003"/>
    <n v="-53243.35"/>
    <n v="-8969.15"/>
    <n v="-12472.02"/>
  </r>
  <r>
    <n v="303"/>
    <d v="2024-10-04T00:00:00"/>
    <x v="3"/>
    <n v="4"/>
    <s v="October"/>
    <n v="10"/>
    <x v="3"/>
    <x v="0"/>
    <s v="Service Revenue"/>
    <x v="6"/>
    <n v="159603.67000000001"/>
    <n v="94210.41"/>
    <n v="65393.26"/>
    <n v="9361.2199999999993"/>
    <n v="56032.04"/>
    <n v="35.11"/>
    <n v="3283371.76"/>
    <n v="1652288.09"/>
    <n v="1631083.67"/>
    <n v="63574.86"/>
    <n v="-25694.06"/>
    <n v="9414.77"/>
    <n v="47295.57"/>
  </r>
  <r>
    <n v="536"/>
    <d v="2024-10-05T00:00:00"/>
    <x v="3"/>
    <n v="4"/>
    <s v="October"/>
    <n v="10"/>
    <x v="1"/>
    <x v="1"/>
    <s v="Consulting"/>
    <x v="2"/>
    <n v="179414.8"/>
    <n v="112237.85"/>
    <n v="67176.95"/>
    <n v="14693.59"/>
    <n v="52483.360000000001"/>
    <n v="29.25"/>
    <n v="2444302.7799999998"/>
    <n v="1389723.72"/>
    <n v="1054579.06"/>
    <n v="70116.539999999994"/>
    <n v="18659.54"/>
    <n v="1094.26"/>
    <n v="89870.34"/>
  </r>
  <r>
    <n v="499"/>
    <d v="2024-10-09T00:00:00"/>
    <x v="3"/>
    <n v="4"/>
    <s v="October"/>
    <n v="10"/>
    <x v="4"/>
    <x v="1"/>
    <s v="Other Income"/>
    <x v="1"/>
    <n v="67027.05"/>
    <n v="49018.32"/>
    <n v="18008.73"/>
    <n v="3652.35"/>
    <n v="14356.38"/>
    <n v="21.42"/>
    <n v="533263.56000000006"/>
    <n v="241917.24"/>
    <n v="291346.32"/>
    <n v="-4498.0600000000004"/>
    <n v="16622.7"/>
    <n v="47158.59"/>
    <n v="59283.23"/>
  </r>
  <r>
    <n v="231"/>
    <d v="2024-10-14T00:00:00"/>
    <x v="3"/>
    <n v="4"/>
    <s v="October"/>
    <n v="10"/>
    <x v="1"/>
    <x v="1"/>
    <s v="Other Income"/>
    <x v="1"/>
    <n v="114180.09"/>
    <n v="54608.05"/>
    <n v="59572.04"/>
    <n v="8640.25"/>
    <n v="50931.79"/>
    <n v="44.61"/>
    <n v="2154801.4300000002"/>
    <n v="695345.1"/>
    <n v="1459456.33"/>
    <n v="55772.4"/>
    <n v="-36790.06"/>
    <n v="-5819.63"/>
    <n v="13162.71"/>
  </r>
  <r>
    <n v="402"/>
    <d v="2024-10-20T00:00:00"/>
    <x v="3"/>
    <n v="4"/>
    <s v="October"/>
    <n v="10"/>
    <x v="1"/>
    <x v="2"/>
    <s v="Product Sales"/>
    <x v="1"/>
    <n v="113125.6"/>
    <n v="53383.46"/>
    <n v="59742.14"/>
    <n v="11206.22"/>
    <n v="48535.92"/>
    <n v="42.9"/>
    <n v="3960140.2"/>
    <n v="2564716.14"/>
    <n v="1395424.06"/>
    <n v="19422.2"/>
    <n v="3017.35"/>
    <n v="17178.93"/>
    <n v="39618.480000000003"/>
  </r>
  <r>
    <n v="75"/>
    <d v="2024-10-22T00:00:00"/>
    <x v="3"/>
    <n v="4"/>
    <s v="October"/>
    <n v="10"/>
    <x v="0"/>
    <x v="1"/>
    <s v="Service Revenue"/>
    <x v="0"/>
    <n v="53897.93"/>
    <n v="39800.720000000001"/>
    <n v="14097.21"/>
    <n v="1966.86"/>
    <n v="12130.35"/>
    <n v="22.51"/>
    <n v="760292.04"/>
    <n v="484793.42"/>
    <n v="275498.62"/>
    <n v="52833.22"/>
    <n v="22775.23"/>
    <n v="59490.78"/>
    <n v="135099.23000000001"/>
  </r>
  <r>
    <n v="16"/>
    <d v="2024-10-28T00:00:00"/>
    <x v="3"/>
    <n v="4"/>
    <s v="October"/>
    <n v="10"/>
    <x v="4"/>
    <x v="3"/>
    <s v="Consulting"/>
    <x v="1"/>
    <n v="77027.31"/>
    <n v="39498.18"/>
    <n v="37529.129999999997"/>
    <n v="7129.19"/>
    <n v="30399.94"/>
    <n v="39.47"/>
    <n v="2247207.73"/>
    <n v="768000.99"/>
    <n v="1479206.74"/>
    <n v="21674.97"/>
    <n v="-33965.49"/>
    <n v="-14005.01"/>
    <n v="-26295.53"/>
  </r>
  <r>
    <n v="431"/>
    <d v="2024-10-28T00:00:00"/>
    <x v="3"/>
    <n v="4"/>
    <s v="October"/>
    <n v="10"/>
    <x v="0"/>
    <x v="3"/>
    <s v="Service Revenue"/>
    <x v="1"/>
    <n v="99900.97"/>
    <n v="81434.429999999993"/>
    <n v="18466.54"/>
    <n v="3846.15"/>
    <n v="14620.39"/>
    <n v="14.63"/>
    <n v="1618721.98"/>
    <n v="753285.21"/>
    <n v="865436.77"/>
    <n v="63991.24"/>
    <n v="15753.06"/>
    <n v="-30263.31"/>
    <n v="49480.99"/>
  </r>
  <r>
    <n v="242"/>
    <d v="2024-10-29T00:00:00"/>
    <x v="3"/>
    <n v="4"/>
    <s v="October"/>
    <n v="10"/>
    <x v="1"/>
    <x v="2"/>
    <s v="Other Income"/>
    <x v="2"/>
    <n v="157557.07999999999"/>
    <n v="106056.99"/>
    <n v="51500.09"/>
    <n v="11434.02"/>
    <n v="40066.07"/>
    <n v="25.43"/>
    <n v="4029893.86"/>
    <n v="1615158.15"/>
    <n v="2414735.71"/>
    <n v="54225.29"/>
    <n v="10475.31"/>
    <n v="-35394.33"/>
    <n v="29306.27"/>
  </r>
  <r>
    <n v="396"/>
    <d v="2024-10-30T00:00:00"/>
    <x v="3"/>
    <n v="4"/>
    <s v="October"/>
    <n v="10"/>
    <x v="3"/>
    <x v="2"/>
    <s v="Service Revenue"/>
    <x v="0"/>
    <n v="105377.06"/>
    <n v="57005.15"/>
    <n v="48371.91"/>
    <n v="6814.82"/>
    <n v="41557.089999999997"/>
    <n v="39.44"/>
    <n v="4952774"/>
    <n v="2593895.0299999998"/>
    <n v="2358878.9700000002"/>
    <n v="87475.54"/>
    <n v="-55744.34"/>
    <n v="-1786.05"/>
    <n v="29945.15"/>
  </r>
  <r>
    <n v="224"/>
    <d v="2024-11-01T00:00:00"/>
    <x v="3"/>
    <n v="4"/>
    <s v="November"/>
    <n v="11"/>
    <x v="3"/>
    <x v="0"/>
    <s v="Product Sales"/>
    <x v="6"/>
    <n v="25676.31"/>
    <n v="13140.43"/>
    <n v="12535.88"/>
    <n v="2522.44"/>
    <n v="10013.44"/>
    <n v="39"/>
    <n v="3498734.36"/>
    <n v="2226661.0299999998"/>
    <n v="1272073.33"/>
    <n v="40896.46"/>
    <n v="25077.27"/>
    <n v="30254.05"/>
    <n v="96227.78"/>
  </r>
  <r>
    <n v="223"/>
    <d v="2024-11-09T00:00:00"/>
    <x v="3"/>
    <n v="4"/>
    <s v="November"/>
    <n v="11"/>
    <x v="4"/>
    <x v="0"/>
    <s v="Other Income"/>
    <x v="3"/>
    <n v="92241.7"/>
    <n v="72564.600000000006"/>
    <n v="19677.099999999999"/>
    <n v="2836.34"/>
    <n v="16840.759999999998"/>
    <n v="18.260000000000002"/>
    <n v="4838352.87"/>
    <n v="1382393.91"/>
    <n v="3455958.96"/>
    <n v="41802.300000000003"/>
    <n v="-20618.599999999999"/>
    <n v="-1235.1199999999999"/>
    <n v="19948.580000000002"/>
  </r>
  <r>
    <n v="254"/>
    <d v="2024-11-10T00:00:00"/>
    <x v="3"/>
    <n v="4"/>
    <s v="November"/>
    <n v="11"/>
    <x v="0"/>
    <x v="0"/>
    <s v="Service Revenue"/>
    <x v="1"/>
    <n v="145997.92000000001"/>
    <n v="97234.02"/>
    <n v="48763.9"/>
    <n v="11794.9"/>
    <n v="36969"/>
    <n v="25.32"/>
    <n v="690900.34"/>
    <n v="246050.65"/>
    <n v="444849.69"/>
    <n v="55093.31"/>
    <n v="-40344.01"/>
    <n v="31442.42"/>
    <n v="46191.72"/>
  </r>
  <r>
    <n v="470"/>
    <d v="2024-11-10T00:00:00"/>
    <x v="3"/>
    <n v="4"/>
    <s v="November"/>
    <n v="11"/>
    <x v="0"/>
    <x v="1"/>
    <s v="Consulting"/>
    <x v="4"/>
    <n v="57400.74"/>
    <n v="40607.82"/>
    <n v="16792.919999999998"/>
    <n v="4038.96"/>
    <n v="12753.96"/>
    <n v="22.22"/>
    <n v="4979799.3600000003"/>
    <n v="2141865.11"/>
    <n v="2837934.25"/>
    <n v="2956.39"/>
    <n v="-25717.06"/>
    <n v="44726.94"/>
    <n v="21966.27"/>
  </r>
  <r>
    <n v="255"/>
    <d v="2024-11-11T00:00:00"/>
    <x v="3"/>
    <n v="4"/>
    <s v="November"/>
    <n v="11"/>
    <x v="2"/>
    <x v="1"/>
    <s v="Consulting"/>
    <x v="2"/>
    <n v="104647.44"/>
    <n v="66795.360000000001"/>
    <n v="37852.080000000002"/>
    <n v="5404.43"/>
    <n v="32447.65"/>
    <n v="31.01"/>
    <n v="4698161.88"/>
    <n v="2729643.93"/>
    <n v="1968517.95"/>
    <n v="58224.4"/>
    <n v="1432.66"/>
    <n v="6171.61"/>
    <n v="65828.67"/>
  </r>
  <r>
    <n v="85"/>
    <d v="2024-11-12T00:00:00"/>
    <x v="3"/>
    <n v="4"/>
    <s v="November"/>
    <n v="11"/>
    <x v="1"/>
    <x v="3"/>
    <s v="Service Revenue"/>
    <x v="5"/>
    <n v="117131.36"/>
    <n v="69334.33"/>
    <n v="47797.03"/>
    <n v="4357.01"/>
    <n v="43440.02"/>
    <n v="37.090000000000003"/>
    <n v="4196808.26"/>
    <n v="1673407.68"/>
    <n v="2523400.58"/>
    <n v="78942.87"/>
    <n v="-44749.13"/>
    <n v="-39897.050000000003"/>
    <n v="-5703.31"/>
  </r>
  <r>
    <n v="88"/>
    <d v="2024-11-14T00:00:00"/>
    <x v="3"/>
    <n v="4"/>
    <s v="November"/>
    <n v="11"/>
    <x v="4"/>
    <x v="2"/>
    <s v="Other Income"/>
    <x v="4"/>
    <n v="74715.12"/>
    <n v="53648.17"/>
    <n v="21066.95"/>
    <n v="4356.4799999999996"/>
    <n v="16710.47"/>
    <n v="22.37"/>
    <n v="1401616.15"/>
    <n v="837114.02"/>
    <n v="564502.13"/>
    <n v="43904.39"/>
    <n v="-13724.97"/>
    <n v="7153.25"/>
    <n v="37332.67"/>
  </r>
  <r>
    <n v="386"/>
    <d v="2024-11-16T00:00:00"/>
    <x v="3"/>
    <n v="4"/>
    <s v="November"/>
    <n v="11"/>
    <x v="3"/>
    <x v="3"/>
    <s v="Consulting"/>
    <x v="2"/>
    <n v="48474.06"/>
    <n v="29575.26"/>
    <n v="18898.8"/>
    <n v="3425.7"/>
    <n v="15473.1"/>
    <n v="31.92"/>
    <n v="862769.32"/>
    <n v="539944.71"/>
    <n v="322824.61"/>
    <n v="45883.79"/>
    <n v="-11337.61"/>
    <n v="42843.87"/>
    <n v="77390.05"/>
  </r>
  <r>
    <n v="473"/>
    <d v="2024-11-17T00:00:00"/>
    <x v="3"/>
    <n v="4"/>
    <s v="November"/>
    <n v="11"/>
    <x v="0"/>
    <x v="0"/>
    <s v="Consulting"/>
    <x v="4"/>
    <n v="67712.850000000006"/>
    <n v="38792.949999999997"/>
    <n v="28919.9"/>
    <n v="5759.03"/>
    <n v="23160.87"/>
    <n v="34.200000000000003"/>
    <n v="3943923.35"/>
    <n v="2452179.2799999998"/>
    <n v="1491744.07"/>
    <n v="9545.06"/>
    <n v="9799.7999999999993"/>
    <n v="33854.61"/>
    <n v="53199.47"/>
  </r>
  <r>
    <n v="560"/>
    <d v="2024-11-17T00:00:00"/>
    <x v="3"/>
    <n v="4"/>
    <s v="November"/>
    <n v="11"/>
    <x v="1"/>
    <x v="1"/>
    <s v="Other Income"/>
    <x v="1"/>
    <n v="96404.28"/>
    <n v="54335.62"/>
    <n v="42068.66"/>
    <n v="3616.94"/>
    <n v="38451.72"/>
    <n v="39.89"/>
    <n v="1954153.48"/>
    <n v="913847.07"/>
    <n v="1040306.41"/>
    <n v="52588.71"/>
    <n v="-34344.11"/>
    <n v="4730.28"/>
    <n v="22974.880000000001"/>
  </r>
  <r>
    <n v="271"/>
    <d v="2024-11-27T00:00:00"/>
    <x v="3"/>
    <n v="4"/>
    <s v="November"/>
    <n v="11"/>
    <x v="5"/>
    <x v="1"/>
    <s v="Other Income"/>
    <x v="3"/>
    <n v="179420.65"/>
    <n v="95953.02"/>
    <n v="83467.63"/>
    <n v="14437.31"/>
    <n v="69030.320000000007"/>
    <n v="38.47"/>
    <n v="3518039.86"/>
    <n v="1865782.08"/>
    <n v="1652257.78"/>
    <n v="55352.29"/>
    <n v="-4600.59"/>
    <n v="41836.959999999999"/>
    <n v="92588.66"/>
  </r>
  <r>
    <n v="190"/>
    <d v="2024-12-01T00:00:00"/>
    <x v="3"/>
    <n v="4"/>
    <s v="December"/>
    <n v="12"/>
    <x v="3"/>
    <x v="1"/>
    <s v="Other Income"/>
    <x v="5"/>
    <n v="31163.72"/>
    <n v="20988.97"/>
    <n v="10174.75"/>
    <n v="2383.48"/>
    <n v="7791.27"/>
    <n v="25"/>
    <n v="1574854.97"/>
    <n v="689560.82"/>
    <n v="885294.15"/>
    <n v="13828.49"/>
    <n v="-22702.87"/>
    <n v="22251.97"/>
    <n v="13377.59"/>
  </r>
  <r>
    <n v="234"/>
    <d v="2024-12-05T00:00:00"/>
    <x v="3"/>
    <n v="4"/>
    <s v="December"/>
    <n v="12"/>
    <x v="1"/>
    <x v="0"/>
    <s v="Service Revenue"/>
    <x v="1"/>
    <n v="62069.61"/>
    <n v="40120.11"/>
    <n v="21949.5"/>
    <n v="4184.95"/>
    <n v="17764.55"/>
    <n v="28.62"/>
    <n v="3400660.29"/>
    <n v="1613672.54"/>
    <n v="1786987.75"/>
    <n v="49918.79"/>
    <n v="-49501.88"/>
    <n v="32562.720000000001"/>
    <n v="32979.629999999997"/>
  </r>
  <r>
    <n v="26"/>
    <d v="2024-12-08T00:00:00"/>
    <x v="3"/>
    <n v="4"/>
    <s v="December"/>
    <n v="12"/>
    <x v="0"/>
    <x v="3"/>
    <s v="Product Sales"/>
    <x v="4"/>
    <n v="164002.20000000001"/>
    <n v="102561.37"/>
    <n v="61440.83"/>
    <n v="11887.87"/>
    <n v="49552.959999999999"/>
    <n v="30.21"/>
    <n v="1275439.42"/>
    <n v="416961.05"/>
    <n v="858478.37"/>
    <n v="22822.45"/>
    <n v="-53106.49"/>
    <n v="-12140.97"/>
    <n v="-42425.01"/>
  </r>
  <r>
    <n v="325"/>
    <d v="2024-12-09T00:00:00"/>
    <x v="3"/>
    <n v="4"/>
    <s v="December"/>
    <n v="12"/>
    <x v="4"/>
    <x v="3"/>
    <s v="Other Income"/>
    <x v="1"/>
    <n v="179441.74"/>
    <n v="133598.46"/>
    <n v="45843.28"/>
    <n v="9541.58"/>
    <n v="36301.699999999997"/>
    <n v="20.23"/>
    <n v="1469753.41"/>
    <n v="564977.36"/>
    <n v="904776.05"/>
    <n v="43556.3"/>
    <n v="7338.1"/>
    <n v="51496.59"/>
    <n v="102390.99"/>
  </r>
  <r>
    <n v="279"/>
    <d v="2024-12-10T00:00:00"/>
    <x v="3"/>
    <n v="4"/>
    <s v="December"/>
    <n v="12"/>
    <x v="2"/>
    <x v="0"/>
    <s v="Product Sales"/>
    <x v="1"/>
    <n v="153358.10999999999"/>
    <n v="81270.94"/>
    <n v="72087.17"/>
    <n v="15685.1"/>
    <n v="56402.07"/>
    <n v="36.78"/>
    <n v="4038609.8"/>
    <n v="2030962.91"/>
    <n v="2007646.89"/>
    <n v="56283.68"/>
    <n v="-42850.12"/>
    <n v="-16821.64"/>
    <n v="-3388.08"/>
  </r>
  <r>
    <n v="360"/>
    <d v="2024-12-14T00:00:00"/>
    <x v="3"/>
    <n v="4"/>
    <s v="December"/>
    <n v="12"/>
    <x v="3"/>
    <x v="1"/>
    <s v="Other Income"/>
    <x v="0"/>
    <n v="80873.55"/>
    <n v="56479.68"/>
    <n v="24393.87"/>
    <n v="3073.86"/>
    <n v="21320.01"/>
    <n v="26.36"/>
    <n v="865533.36"/>
    <n v="560028.4"/>
    <n v="305504.96000000002"/>
    <n v="3816.13"/>
    <n v="28842.1"/>
    <n v="57727.99"/>
    <n v="90386.22"/>
  </r>
  <r>
    <n v="361"/>
    <d v="2024-12-16T00:00:00"/>
    <x v="3"/>
    <n v="4"/>
    <s v="December"/>
    <n v="12"/>
    <x v="2"/>
    <x v="2"/>
    <s v="Other Income"/>
    <x v="4"/>
    <n v="114560.09"/>
    <n v="88263.69"/>
    <n v="26296.400000000001"/>
    <n v="3397.62"/>
    <n v="22898.78"/>
    <n v="19.989999999999998"/>
    <n v="2604565.46"/>
    <n v="1296438.05"/>
    <n v="1308127.4099999999"/>
    <n v="25794.02"/>
    <n v="-27251.35"/>
    <n v="-6971.53"/>
    <n v="-8428.86"/>
  </r>
  <r>
    <n v="78"/>
    <d v="2024-12-22T00:00:00"/>
    <x v="3"/>
    <n v="4"/>
    <s v="December"/>
    <n v="12"/>
    <x v="0"/>
    <x v="0"/>
    <s v="Product Sales"/>
    <x v="2"/>
    <n v="88310.25"/>
    <n v="51917.13"/>
    <n v="36393.120000000003"/>
    <n v="4518.5"/>
    <n v="31874.62"/>
    <n v="36.090000000000003"/>
    <n v="3755390.51"/>
    <n v="1683730.44"/>
    <n v="2071660.07"/>
    <n v="8358.32"/>
    <n v="-47981.68"/>
    <n v="28325.88"/>
    <n v="-11297.48"/>
  </r>
  <r>
    <n v="587"/>
    <d v="2024-12-29T00:00:00"/>
    <x v="3"/>
    <n v="4"/>
    <s v="December"/>
    <n v="12"/>
    <x v="0"/>
    <x v="1"/>
    <s v="Consulting"/>
    <x v="6"/>
    <n v="52176.81"/>
    <n v="23674.83"/>
    <n v="28501.98"/>
    <n v="3001.19"/>
    <n v="25500.79"/>
    <n v="48.87"/>
    <n v="3991425.3"/>
    <n v="1711177.79"/>
    <n v="2280247.5099999998"/>
    <n v="31300.81"/>
    <n v="25502.29"/>
    <n v="51963.49"/>
    <n v="108766.59"/>
  </r>
  <r>
    <n v="2"/>
    <d v="2024-12-30T00:00:00"/>
    <x v="3"/>
    <n v="4"/>
    <s v="December"/>
    <n v="12"/>
    <x v="2"/>
    <x v="2"/>
    <s v="Other Income"/>
    <x v="0"/>
    <n v="83064.960000000006"/>
    <n v="56614.43"/>
    <n v="26450.53"/>
    <n v="4378.4399999999996"/>
    <n v="22072.09"/>
    <n v="26.57"/>
    <n v="4354204.29"/>
    <n v="2235785.73"/>
    <n v="2118418.56"/>
    <n v="5106.84"/>
    <n v="-62943.13"/>
    <n v="24241.93"/>
    <n v="-33594.36"/>
  </r>
  <r>
    <n v="282"/>
    <d v="2025-01-02T00:00:00"/>
    <x v="4"/>
    <n v="1"/>
    <s v="January"/>
    <n v="1"/>
    <x v="5"/>
    <x v="1"/>
    <s v="Other Income"/>
    <x v="2"/>
    <n v="147361.99"/>
    <n v="82494.87"/>
    <n v="64867.12"/>
    <n v="11159.27"/>
    <n v="53707.85"/>
    <n v="36.450000000000003"/>
    <n v="2053534.79"/>
    <n v="853614.1"/>
    <n v="1199920.69"/>
    <n v="82300.960000000006"/>
    <n v="18166.25"/>
    <n v="-27850.46"/>
    <n v="72616.75"/>
  </r>
  <r>
    <n v="579"/>
    <d v="2025-01-10T00:00:00"/>
    <x v="4"/>
    <n v="1"/>
    <s v="January"/>
    <n v="1"/>
    <x v="0"/>
    <x v="3"/>
    <s v="Other Income"/>
    <x v="1"/>
    <n v="40093.39"/>
    <n v="22537.87"/>
    <n v="17555.52"/>
    <n v="3309.18"/>
    <n v="14246.34"/>
    <n v="35.53"/>
    <n v="2075030.91"/>
    <n v="1289318.42"/>
    <n v="785712.49"/>
    <n v="-10503.57"/>
    <n v="-15058.82"/>
    <n v="19086.63"/>
    <n v="-6475.76"/>
  </r>
  <r>
    <n v="77"/>
    <d v="2025-01-18T00:00:00"/>
    <x v="4"/>
    <n v="1"/>
    <s v="January"/>
    <n v="1"/>
    <x v="0"/>
    <x v="1"/>
    <s v="Consulting"/>
    <x v="2"/>
    <n v="161006.43"/>
    <n v="88275.32"/>
    <n v="72731.11"/>
    <n v="7419.85"/>
    <n v="65311.26"/>
    <n v="40.56"/>
    <n v="4499366.3600000003"/>
    <n v="2844772.07"/>
    <n v="1654594.29"/>
    <n v="104281.47"/>
    <n v="10951.61"/>
    <n v="25524.2"/>
    <n v="140757.28"/>
  </r>
  <r>
    <n v="233"/>
    <d v="2025-01-19T00:00:00"/>
    <x v="4"/>
    <n v="1"/>
    <s v="January"/>
    <n v="1"/>
    <x v="1"/>
    <x v="2"/>
    <s v="Service Revenue"/>
    <x v="1"/>
    <n v="86690.82"/>
    <n v="48727.07"/>
    <n v="37963.75"/>
    <n v="3461.08"/>
    <n v="34502.67"/>
    <n v="39.799999999999997"/>
    <n v="1527059.14"/>
    <n v="532396.12"/>
    <n v="994663.02"/>
    <n v="43228.84"/>
    <n v="4744.4399999999996"/>
    <n v="7380.98"/>
    <n v="55354.26"/>
  </r>
  <r>
    <n v="14"/>
    <d v="2025-01-22T00:00:00"/>
    <x v="4"/>
    <n v="1"/>
    <s v="January"/>
    <n v="1"/>
    <x v="2"/>
    <x v="3"/>
    <s v="Consulting"/>
    <x v="1"/>
    <n v="176574.6"/>
    <n v="115783.83"/>
    <n v="60790.77"/>
    <n v="8198.0400000000009"/>
    <n v="52592.73"/>
    <n v="29.78"/>
    <n v="695303.52"/>
    <n v="430988.98"/>
    <n v="264314.53999999998"/>
    <n v="96121.99"/>
    <n v="-44700.98"/>
    <n v="29541.11"/>
    <n v="80962.12"/>
  </r>
  <r>
    <n v="179"/>
    <d v="2025-01-24T00:00:00"/>
    <x v="4"/>
    <n v="1"/>
    <s v="January"/>
    <n v="1"/>
    <x v="4"/>
    <x v="2"/>
    <s v="Service Revenue"/>
    <x v="1"/>
    <n v="139590.68"/>
    <n v="68308.31"/>
    <n v="71282.37"/>
    <n v="9518.7900000000009"/>
    <n v="61763.58"/>
    <n v="44.25"/>
    <n v="517177.1"/>
    <n v="270311.81"/>
    <n v="246865.29"/>
    <n v="45134.14"/>
    <n v="-4471.76"/>
    <n v="59174.26"/>
    <n v="99836.64"/>
  </r>
  <r>
    <n v="104"/>
    <d v="2025-01-25T00:00:00"/>
    <x v="4"/>
    <n v="1"/>
    <s v="January"/>
    <n v="1"/>
    <x v="2"/>
    <x v="1"/>
    <s v="Product Sales"/>
    <x v="3"/>
    <n v="77235.490000000005"/>
    <n v="58443.08"/>
    <n v="18792.41"/>
    <n v="2879.95"/>
    <n v="15912.46"/>
    <n v="20.6"/>
    <n v="1619214.23"/>
    <n v="804519.54"/>
    <n v="814694.69"/>
    <n v="42454.64"/>
    <n v="-53295.81"/>
    <n v="-23238.080000000002"/>
    <n v="-34079.25"/>
  </r>
  <r>
    <n v="164"/>
    <d v="2025-01-25T00:00:00"/>
    <x v="4"/>
    <n v="1"/>
    <s v="January"/>
    <n v="1"/>
    <x v="0"/>
    <x v="3"/>
    <s v="Service Revenue"/>
    <x v="6"/>
    <n v="112108.89"/>
    <n v="64797.88"/>
    <n v="47311.01"/>
    <n v="6319.91"/>
    <n v="40991.1"/>
    <n v="36.56"/>
    <n v="3973359.77"/>
    <n v="1130698.3700000001"/>
    <n v="2842661.4"/>
    <n v="29933.84"/>
    <n v="3244.87"/>
    <n v="14832.06"/>
    <n v="48010.77"/>
  </r>
  <r>
    <n v="245"/>
    <d v="2025-02-04T00:00:00"/>
    <x v="4"/>
    <n v="1"/>
    <s v="February"/>
    <n v="2"/>
    <x v="5"/>
    <x v="1"/>
    <s v="Service Revenue"/>
    <x v="0"/>
    <n v="147070.10999999999"/>
    <n v="79840.03"/>
    <n v="67230.080000000002"/>
    <n v="11825.27"/>
    <n v="55404.81"/>
    <n v="37.67"/>
    <n v="2113603.08"/>
    <n v="1083543.75"/>
    <n v="1030059.33"/>
    <n v="44636.72"/>
    <n v="-50840.71"/>
    <n v="51823.91"/>
    <n v="45619.92"/>
  </r>
  <r>
    <n v="130"/>
    <d v="2025-02-04T00:00:00"/>
    <x v="4"/>
    <n v="1"/>
    <s v="February"/>
    <n v="2"/>
    <x v="3"/>
    <x v="2"/>
    <s v="Service Revenue"/>
    <x v="4"/>
    <n v="146872.76999999999"/>
    <n v="97317.51"/>
    <n v="49555.26"/>
    <n v="8737.4699999999993"/>
    <n v="40817.79"/>
    <n v="27.79"/>
    <n v="2259692.4300000002"/>
    <n v="1017903.76"/>
    <n v="1241788.67"/>
    <n v="42592.09"/>
    <n v="-16026.74"/>
    <n v="22795.01"/>
    <n v="49360.36"/>
  </r>
  <r>
    <n v="219"/>
    <d v="2025-02-05T00:00:00"/>
    <x v="4"/>
    <n v="1"/>
    <s v="February"/>
    <n v="2"/>
    <x v="5"/>
    <x v="0"/>
    <s v="Other Income"/>
    <x v="3"/>
    <n v="102978.01"/>
    <n v="63461.17"/>
    <n v="39516.839999999997"/>
    <n v="7097.11"/>
    <n v="32419.73"/>
    <n v="31.48"/>
    <n v="3311527.38"/>
    <n v="922956.86"/>
    <n v="2388570.52"/>
    <n v="57029.11"/>
    <n v="-45806.83"/>
    <n v="31395.26"/>
    <n v="42617.54"/>
  </r>
  <r>
    <n v="367"/>
    <d v="2025-02-05T00:00:00"/>
    <x v="4"/>
    <n v="1"/>
    <s v="February"/>
    <n v="2"/>
    <x v="5"/>
    <x v="0"/>
    <s v="Other Income"/>
    <x v="6"/>
    <n v="99820.59"/>
    <n v="73633.509999999995"/>
    <n v="26187.08"/>
    <n v="5090.3500000000004"/>
    <n v="21096.73"/>
    <n v="21.13"/>
    <n v="3759145.37"/>
    <n v="1680486.85"/>
    <n v="2078658.52"/>
    <n v="41769.67"/>
    <n v="10552.59"/>
    <n v="-211.58"/>
    <n v="52110.68"/>
  </r>
  <r>
    <n v="556"/>
    <d v="2025-02-06T00:00:00"/>
    <x v="4"/>
    <n v="1"/>
    <s v="February"/>
    <n v="2"/>
    <x v="0"/>
    <x v="2"/>
    <s v="Consulting"/>
    <x v="0"/>
    <n v="132997"/>
    <n v="64604.23"/>
    <n v="68392.77"/>
    <n v="8659.06"/>
    <n v="59733.71"/>
    <n v="44.91"/>
    <n v="1940255.27"/>
    <n v="1077346.19"/>
    <n v="862909.08"/>
    <n v="93913.64"/>
    <n v="-31489.39"/>
    <n v="1788.4"/>
    <n v="64212.65"/>
  </r>
  <r>
    <n v="44"/>
    <d v="2025-02-08T00:00:00"/>
    <x v="4"/>
    <n v="1"/>
    <s v="February"/>
    <n v="2"/>
    <x v="1"/>
    <x v="3"/>
    <s v="Consulting"/>
    <x v="6"/>
    <n v="117758.62"/>
    <n v="77630.97"/>
    <n v="40127.65"/>
    <n v="8095.77"/>
    <n v="32031.88"/>
    <n v="27.2"/>
    <n v="3195632.14"/>
    <n v="1855766"/>
    <n v="1339866.1399999999"/>
    <n v="78757.86"/>
    <n v="-35747.57"/>
    <n v="-17264.900000000001"/>
    <n v="25745.39"/>
  </r>
  <r>
    <n v="477"/>
    <d v="2025-02-09T00:00:00"/>
    <x v="4"/>
    <n v="1"/>
    <s v="February"/>
    <n v="2"/>
    <x v="3"/>
    <x v="1"/>
    <s v="Consulting"/>
    <x v="3"/>
    <n v="77536.44"/>
    <n v="57717.68"/>
    <n v="19818.759999999998"/>
    <n v="1846.56"/>
    <n v="17972.2"/>
    <n v="23.18"/>
    <n v="1770412.25"/>
    <n v="857089.73"/>
    <n v="913322.52"/>
    <n v="8485.24"/>
    <n v="23397.8"/>
    <n v="-26894.14"/>
    <n v="4988.8999999999996"/>
  </r>
  <r>
    <n v="92"/>
    <d v="2025-02-09T00:00:00"/>
    <x v="4"/>
    <n v="1"/>
    <s v="February"/>
    <n v="2"/>
    <x v="3"/>
    <x v="3"/>
    <s v="Other Income"/>
    <x v="6"/>
    <n v="142344.19"/>
    <n v="114228.37"/>
    <n v="28115.82"/>
    <n v="6588.36"/>
    <n v="21527.46"/>
    <n v="15.12"/>
    <n v="3759283.89"/>
    <n v="2066345.48"/>
    <n v="1692938.41"/>
    <n v="3201.23"/>
    <n v="-59720.76"/>
    <n v="17090.45"/>
    <n v="-39429.08"/>
  </r>
  <r>
    <n v="415"/>
    <d v="2025-02-13T00:00:00"/>
    <x v="4"/>
    <n v="1"/>
    <s v="February"/>
    <n v="2"/>
    <x v="2"/>
    <x v="2"/>
    <s v="Consulting"/>
    <x v="1"/>
    <n v="57020.06"/>
    <n v="32268.14"/>
    <n v="24751.919999999998"/>
    <n v="4656.62"/>
    <n v="20095.3"/>
    <n v="35.24"/>
    <n v="2292262.4700000002"/>
    <n v="579314.05000000005"/>
    <n v="1712948.42"/>
    <n v="31967.87"/>
    <n v="22151.34"/>
    <n v="41207.760000000002"/>
    <n v="95326.97"/>
  </r>
  <r>
    <n v="58"/>
    <d v="2025-02-17T00:00:00"/>
    <x v="4"/>
    <n v="1"/>
    <s v="February"/>
    <n v="2"/>
    <x v="1"/>
    <x v="3"/>
    <s v="Product Sales"/>
    <x v="5"/>
    <n v="100140.65"/>
    <n v="64050.89"/>
    <n v="36089.760000000002"/>
    <n v="7437.62"/>
    <n v="28652.14"/>
    <n v="28.61"/>
    <n v="3644806.34"/>
    <n v="1498088.37"/>
    <n v="2146717.9700000002"/>
    <n v="16093.99"/>
    <n v="-5494.58"/>
    <n v="2170.39"/>
    <n v="12769.8"/>
  </r>
  <r>
    <n v="141"/>
    <d v="2025-02-22T00:00:00"/>
    <x v="4"/>
    <n v="1"/>
    <s v="February"/>
    <n v="2"/>
    <x v="5"/>
    <x v="1"/>
    <s v="Consulting"/>
    <x v="2"/>
    <n v="127097.28"/>
    <n v="101531.35"/>
    <n v="25565.93"/>
    <n v="5560.85"/>
    <n v="20005.080000000002"/>
    <n v="15.74"/>
    <n v="843875.87"/>
    <n v="305269.64"/>
    <n v="538606.23"/>
    <n v="64430.59"/>
    <n v="-44694.16"/>
    <n v="38117.040000000001"/>
    <n v="57853.47"/>
  </r>
  <r>
    <n v="25"/>
    <d v="2025-02-24T00:00:00"/>
    <x v="4"/>
    <n v="1"/>
    <s v="February"/>
    <n v="2"/>
    <x v="5"/>
    <x v="2"/>
    <s v="Other Income"/>
    <x v="1"/>
    <n v="78849.08"/>
    <n v="41583.300000000003"/>
    <n v="37265.78"/>
    <n v="6653.45"/>
    <n v="30612.33"/>
    <n v="38.82"/>
    <n v="2037034.45"/>
    <n v="947028.25"/>
    <n v="1090006.2"/>
    <n v="37421.86"/>
    <n v="-11523.39"/>
    <n v="30.05"/>
    <n v="25928.52"/>
  </r>
  <r>
    <n v="249"/>
    <d v="2025-03-01T00:00:00"/>
    <x v="4"/>
    <n v="1"/>
    <s v="March"/>
    <n v="3"/>
    <x v="4"/>
    <x v="3"/>
    <s v="Product Sales"/>
    <x v="1"/>
    <n v="103572.67"/>
    <n v="62297.15"/>
    <n v="41275.519999999997"/>
    <n v="8991.85"/>
    <n v="32283.67"/>
    <n v="31.17"/>
    <n v="4261216.68"/>
    <n v="1631519.36"/>
    <n v="2629697.3199999998"/>
    <n v="57773.11"/>
    <n v="7112.28"/>
    <n v="25465.07"/>
    <n v="90350.46"/>
  </r>
  <r>
    <n v="133"/>
    <d v="2025-03-03T00:00:00"/>
    <x v="4"/>
    <n v="1"/>
    <s v="March"/>
    <n v="3"/>
    <x v="5"/>
    <x v="0"/>
    <s v="Consulting"/>
    <x v="4"/>
    <n v="47687.97"/>
    <n v="27944.57"/>
    <n v="19743.400000000001"/>
    <n v="1808.28"/>
    <n v="17935.12"/>
    <n v="37.61"/>
    <n v="616153.57999999996"/>
    <n v="187351.67"/>
    <n v="428801.91"/>
    <n v="64984.33"/>
    <n v="-15047.05"/>
    <n v="56582.22"/>
    <n v="106519.5"/>
  </r>
  <r>
    <n v="385"/>
    <d v="2025-03-08T00:00:00"/>
    <x v="4"/>
    <n v="1"/>
    <s v="March"/>
    <n v="3"/>
    <x v="5"/>
    <x v="0"/>
    <s v="Other Income"/>
    <x v="0"/>
    <n v="114432.15"/>
    <n v="66122.09"/>
    <n v="48310.06"/>
    <n v="10459.709999999999"/>
    <n v="37850.35"/>
    <n v="33.08"/>
    <n v="2931255.02"/>
    <n v="825770.05"/>
    <n v="2105484.9700000002"/>
    <n v="53118.39"/>
    <n v="20801.849999999999"/>
    <n v="-368.74"/>
    <n v="73551.5"/>
  </r>
  <r>
    <n v="56"/>
    <d v="2025-03-09T00:00:00"/>
    <x v="4"/>
    <n v="1"/>
    <s v="March"/>
    <n v="3"/>
    <x v="5"/>
    <x v="2"/>
    <s v="Product Sales"/>
    <x v="5"/>
    <n v="160848.82999999999"/>
    <n v="110645.09"/>
    <n v="50203.74"/>
    <n v="10024.219999999999"/>
    <n v="40179.519999999997"/>
    <n v="24.98"/>
    <n v="4597808.0199999996"/>
    <n v="2298464.96"/>
    <n v="2299343.06"/>
    <n v="37048.79"/>
    <n v="12510.73"/>
    <n v="-3694.08"/>
    <n v="45865.440000000002"/>
  </r>
  <r>
    <n v="485"/>
    <d v="2025-03-10T00:00:00"/>
    <x v="4"/>
    <n v="1"/>
    <s v="March"/>
    <n v="3"/>
    <x v="0"/>
    <x v="3"/>
    <s v="Consulting"/>
    <x v="4"/>
    <n v="100547.98"/>
    <n v="80417.02"/>
    <n v="20130.96"/>
    <n v="1806.36"/>
    <n v="18324.599999999999"/>
    <n v="18.22"/>
    <n v="4689493.79"/>
    <n v="1267115.0900000001"/>
    <n v="3422378.7"/>
    <n v="32108.98"/>
    <n v="19044.09"/>
    <n v="-13727.91"/>
    <n v="37425.160000000003"/>
  </r>
  <r>
    <n v="217"/>
    <d v="2025-03-10T00:00:00"/>
    <x v="4"/>
    <n v="1"/>
    <s v="March"/>
    <n v="3"/>
    <x v="3"/>
    <x v="1"/>
    <s v="Consulting"/>
    <x v="4"/>
    <n v="32785.03"/>
    <n v="15637.6"/>
    <n v="17147.43"/>
    <n v="2546.1999999999998"/>
    <n v="14601.23"/>
    <n v="44.54"/>
    <n v="1828807.22"/>
    <n v="627196.26"/>
    <n v="1201610.96"/>
    <n v="7081.59"/>
    <n v="10348.27"/>
    <n v="52922.81"/>
    <n v="70352.67"/>
  </r>
  <r>
    <n v="253"/>
    <d v="2025-03-14T00:00:00"/>
    <x v="4"/>
    <n v="1"/>
    <s v="March"/>
    <n v="3"/>
    <x v="1"/>
    <x v="2"/>
    <s v="Consulting"/>
    <x v="2"/>
    <n v="150037.5"/>
    <n v="122190.18"/>
    <n v="27847.32"/>
    <n v="5798.43"/>
    <n v="22048.89"/>
    <n v="14.7"/>
    <n v="2269378.4"/>
    <n v="1103496.8999999999"/>
    <n v="1165881.5"/>
    <n v="44930.03"/>
    <n v="-62154.42"/>
    <n v="14449.7"/>
    <n v="-2774.69"/>
  </r>
  <r>
    <n v="310"/>
    <d v="2025-03-15T00:00:00"/>
    <x v="4"/>
    <n v="1"/>
    <s v="March"/>
    <n v="3"/>
    <x v="5"/>
    <x v="3"/>
    <s v="Service Revenue"/>
    <x v="0"/>
    <n v="78863.600000000006"/>
    <n v="48193.2"/>
    <n v="30670.400000000001"/>
    <n v="4518.16"/>
    <n v="26152.240000000002"/>
    <n v="33.159999999999997"/>
    <n v="3511888.74"/>
    <n v="2130863.92"/>
    <n v="1381024.82"/>
    <n v="20636.36"/>
    <n v="-14812.29"/>
    <n v="38940.94"/>
    <n v="44765.01"/>
  </r>
  <r>
    <n v="294"/>
    <d v="2025-03-15T00:00:00"/>
    <x v="4"/>
    <n v="1"/>
    <s v="March"/>
    <n v="3"/>
    <x v="1"/>
    <x v="2"/>
    <s v="Consulting"/>
    <x v="3"/>
    <n v="89320.54"/>
    <n v="63750.55"/>
    <n v="25569.99"/>
    <n v="3724.42"/>
    <n v="21845.57"/>
    <n v="24.46"/>
    <n v="3148272.21"/>
    <n v="1020509.64"/>
    <n v="2127762.5699999998"/>
    <n v="39827.279999999999"/>
    <n v="16151.37"/>
    <n v="46863.96"/>
    <n v="102842.61"/>
  </r>
  <r>
    <n v="424"/>
    <d v="2025-03-16T00:00:00"/>
    <x v="4"/>
    <n v="1"/>
    <s v="March"/>
    <n v="3"/>
    <x v="0"/>
    <x v="0"/>
    <s v="Service Revenue"/>
    <x v="4"/>
    <n v="166284.78"/>
    <n v="88457.08"/>
    <n v="77827.7"/>
    <n v="6969.28"/>
    <n v="70858.42"/>
    <n v="42.61"/>
    <n v="1650375.92"/>
    <n v="760865.32"/>
    <n v="889510.6"/>
    <n v="54586.13"/>
    <n v="-53254.03"/>
    <n v="6259.35"/>
    <n v="7591.45"/>
  </r>
  <r>
    <n v="420"/>
    <d v="2025-03-20T00:00:00"/>
    <x v="4"/>
    <n v="1"/>
    <s v="March"/>
    <n v="3"/>
    <x v="5"/>
    <x v="1"/>
    <s v="Product Sales"/>
    <x v="0"/>
    <n v="37704.69"/>
    <n v="25990.97"/>
    <n v="11713.72"/>
    <n v="2181.64"/>
    <n v="9532.08"/>
    <n v="25.28"/>
    <n v="3372577.6"/>
    <n v="1257493.4099999999"/>
    <n v="2115084.19"/>
    <n v="48306.45"/>
    <n v="25947.22"/>
    <n v="-18228.75"/>
    <n v="56024.92"/>
  </r>
  <r>
    <n v="160"/>
    <d v="2025-04-20T00:00:00"/>
    <x v="4"/>
    <n v="2"/>
    <s v="April"/>
    <n v="4"/>
    <x v="0"/>
    <x v="2"/>
    <s v="Product Sales"/>
    <x v="5"/>
    <n v="67325.98"/>
    <n v="43202.35"/>
    <n v="24123.63"/>
    <n v="3154.97"/>
    <n v="20968.66"/>
    <n v="31.14"/>
    <n v="4733056.5999999996"/>
    <n v="1674170.64"/>
    <n v="3058885.96"/>
    <n v="25341.21"/>
    <n v="17273.03"/>
    <n v="44193.36"/>
    <n v="86807.6"/>
  </r>
  <r>
    <n v="177"/>
    <d v="2025-04-27T00:00:00"/>
    <x v="4"/>
    <n v="2"/>
    <s v="April"/>
    <n v="4"/>
    <x v="4"/>
    <x v="2"/>
    <s v="Service Revenue"/>
    <x v="1"/>
    <n v="64419.91"/>
    <n v="48516.21"/>
    <n v="15903.7"/>
    <n v="3651.01"/>
    <n v="12252.69"/>
    <n v="19.02"/>
    <n v="2864457.11"/>
    <n v="996074.79"/>
    <n v="1868382.32"/>
    <n v="-8711.85"/>
    <n v="-61282.05"/>
    <n v="31907.74"/>
    <n v="-38086.160000000003"/>
  </r>
  <r>
    <n v="212"/>
    <d v="2025-04-29T00:00:00"/>
    <x v="4"/>
    <n v="2"/>
    <s v="April"/>
    <n v="4"/>
    <x v="3"/>
    <x v="1"/>
    <s v="Consulting"/>
    <x v="4"/>
    <n v="73344.36"/>
    <n v="39953.43"/>
    <n v="33390.93"/>
    <n v="2846.05"/>
    <n v="30544.880000000001"/>
    <n v="41.65"/>
    <n v="4871898.6900000004"/>
    <n v="1648154.53"/>
    <n v="3223744.16"/>
    <n v="59267.26"/>
    <n v="6259.64"/>
    <n v="52925.74"/>
    <n v="118452.64"/>
  </r>
  <r>
    <n v="96"/>
    <d v="2025-04-29T00:00:00"/>
    <x v="4"/>
    <n v="2"/>
    <s v="April"/>
    <n v="4"/>
    <x v="5"/>
    <x v="0"/>
    <s v="Product Sales"/>
    <x v="5"/>
    <n v="117608.76"/>
    <n v="87032.6"/>
    <n v="30576.16"/>
    <n v="4945.8100000000004"/>
    <n v="25630.35"/>
    <n v="21.79"/>
    <n v="683393.48"/>
    <n v="215678.84"/>
    <n v="467714.64"/>
    <n v="30718.93"/>
    <n v="2482.66"/>
    <n v="19327.86"/>
    <n v="52529.45"/>
  </r>
  <r>
    <n v="39"/>
    <d v="2025-05-04T00:00:00"/>
    <x v="4"/>
    <n v="2"/>
    <s v="May"/>
    <n v="5"/>
    <x v="1"/>
    <x v="0"/>
    <s v="Service Revenue"/>
    <x v="3"/>
    <n v="141327.79999999999"/>
    <n v="105406.33"/>
    <n v="35921.47"/>
    <n v="7912.51"/>
    <n v="28008.959999999999"/>
    <n v="19.82"/>
    <n v="1338822.44"/>
    <n v="460925.37"/>
    <n v="877897.07"/>
    <n v="48709.65"/>
    <n v="20786.61"/>
    <n v="-8380.34"/>
    <n v="61115.92"/>
  </r>
  <r>
    <n v="84"/>
    <d v="2025-05-05T00:00:00"/>
    <x v="4"/>
    <n v="2"/>
    <s v="May"/>
    <n v="5"/>
    <x v="5"/>
    <x v="2"/>
    <s v="Consulting"/>
    <x v="0"/>
    <n v="144502.57"/>
    <n v="102910.63"/>
    <n v="41591.94"/>
    <n v="6675.82"/>
    <n v="34916.120000000003"/>
    <n v="24.16"/>
    <n v="760642.07"/>
    <n v="212886.8"/>
    <n v="547755.27"/>
    <n v="73109.289999999994"/>
    <n v="29014.84"/>
    <n v="27605.23"/>
    <n v="129729.36"/>
  </r>
  <r>
    <n v="266"/>
    <d v="2025-05-09T00:00:00"/>
    <x v="4"/>
    <n v="2"/>
    <s v="May"/>
    <n v="5"/>
    <x v="3"/>
    <x v="0"/>
    <s v="Service Revenue"/>
    <x v="4"/>
    <n v="36931.82"/>
    <n v="17652.150000000001"/>
    <n v="19279.669999999998"/>
    <n v="4660.7"/>
    <n v="14618.97"/>
    <n v="39.58"/>
    <n v="1837808.56"/>
    <n v="527132.74"/>
    <n v="1310675.82"/>
    <n v="32542.54"/>
    <n v="-7635.12"/>
    <n v="24850.48"/>
    <n v="49757.9"/>
  </r>
  <r>
    <n v="53"/>
    <d v="2025-05-10T00:00:00"/>
    <x v="4"/>
    <n v="2"/>
    <s v="May"/>
    <n v="5"/>
    <x v="4"/>
    <x v="2"/>
    <s v="Consulting"/>
    <x v="0"/>
    <n v="164101.71"/>
    <n v="105818.37"/>
    <n v="58283.34"/>
    <n v="12596.63"/>
    <n v="45686.71"/>
    <n v="27.84"/>
    <n v="4905191.46"/>
    <n v="2874027.92"/>
    <n v="2031163.54"/>
    <n v="85046.21"/>
    <n v="-29201.55"/>
    <n v="15172.26"/>
    <n v="71016.92"/>
  </r>
  <r>
    <n v="334"/>
    <d v="2025-05-15T00:00:00"/>
    <x v="4"/>
    <n v="2"/>
    <s v="May"/>
    <n v="5"/>
    <x v="1"/>
    <x v="0"/>
    <s v="Service Revenue"/>
    <x v="1"/>
    <n v="100301.7"/>
    <n v="49474.99"/>
    <n v="50826.71"/>
    <n v="9960.31"/>
    <n v="40866.400000000001"/>
    <n v="40.74"/>
    <n v="4774548.51"/>
    <n v="1455453.23"/>
    <n v="3319095.28"/>
    <n v="69577.05"/>
    <n v="-6776.18"/>
    <n v="18360.5"/>
    <n v="81161.37"/>
  </r>
  <r>
    <n v="526"/>
    <d v="2025-05-15T00:00:00"/>
    <x v="4"/>
    <n v="2"/>
    <s v="May"/>
    <n v="5"/>
    <x v="5"/>
    <x v="1"/>
    <s v="Consulting"/>
    <x v="3"/>
    <n v="40129.56"/>
    <n v="20535.66"/>
    <n v="19593.900000000001"/>
    <n v="4644.43"/>
    <n v="14949.47"/>
    <n v="37.25"/>
    <n v="4196620.6399999997"/>
    <n v="1643505.02"/>
    <n v="2553115.62"/>
    <n v="37415.129999999997"/>
    <n v="-16272.43"/>
    <n v="27712.43"/>
    <n v="48855.13"/>
  </r>
  <r>
    <n v="154"/>
    <d v="2025-05-17T00:00:00"/>
    <x v="4"/>
    <n v="2"/>
    <s v="May"/>
    <n v="5"/>
    <x v="0"/>
    <x v="3"/>
    <s v="Other Income"/>
    <x v="3"/>
    <n v="160880.87"/>
    <n v="131704.10999999999"/>
    <n v="29176.76"/>
    <n v="4160.97"/>
    <n v="25015.79"/>
    <n v="15.55"/>
    <n v="2518747.84"/>
    <n v="1357172.81"/>
    <n v="1161575.03"/>
    <n v="65911.45"/>
    <n v="-10695.57"/>
    <n v="-847.43"/>
    <n v="54368.45"/>
  </r>
  <r>
    <n v="206"/>
    <d v="2025-05-17T00:00:00"/>
    <x v="4"/>
    <n v="2"/>
    <s v="May"/>
    <n v="5"/>
    <x v="0"/>
    <x v="1"/>
    <s v="Service Revenue"/>
    <x v="0"/>
    <n v="103654.19"/>
    <n v="72623.58"/>
    <n v="31030.61"/>
    <n v="3722.32"/>
    <n v="27308.29"/>
    <n v="26.35"/>
    <n v="4238098.3"/>
    <n v="1983137.84"/>
    <n v="2254960.46"/>
    <n v="10527.65"/>
    <n v="-11701.56"/>
    <n v="59971.38"/>
    <n v="58797.47"/>
  </r>
  <r>
    <n v="181"/>
    <d v="2025-05-18T00:00:00"/>
    <x v="4"/>
    <n v="2"/>
    <s v="May"/>
    <n v="5"/>
    <x v="0"/>
    <x v="2"/>
    <s v="Service Revenue"/>
    <x v="0"/>
    <n v="164321.35"/>
    <n v="113510.62"/>
    <n v="50810.73"/>
    <n v="11616.28"/>
    <n v="39194.449999999997"/>
    <n v="23.85"/>
    <n v="500847.8"/>
    <n v="159085.5"/>
    <n v="341762.3"/>
    <n v="40375.199999999997"/>
    <n v="-32049.71"/>
    <n v="-17326.96"/>
    <n v="-9001.4699999999993"/>
  </r>
  <r>
    <n v="380"/>
    <d v="2025-05-23T00:00:00"/>
    <x v="4"/>
    <n v="2"/>
    <s v="May"/>
    <n v="5"/>
    <x v="5"/>
    <x v="3"/>
    <s v="Product Sales"/>
    <x v="3"/>
    <n v="176152.9"/>
    <n v="133574.21"/>
    <n v="42578.69"/>
    <n v="5599.65"/>
    <n v="36979.040000000001"/>
    <n v="20.99"/>
    <n v="4849463.82"/>
    <n v="2430783.13"/>
    <n v="2418680.69"/>
    <n v="81430.44"/>
    <n v="-2389.5"/>
    <n v="-9276.1"/>
    <n v="69764.84"/>
  </r>
  <r>
    <n v="572"/>
    <d v="2025-06-13T00:00:00"/>
    <x v="4"/>
    <n v="2"/>
    <s v="June"/>
    <n v="6"/>
    <x v="5"/>
    <x v="0"/>
    <s v="Service Revenue"/>
    <x v="6"/>
    <n v="167697.35999999999"/>
    <n v="81273.55"/>
    <n v="86423.81"/>
    <n v="20945.740000000002"/>
    <n v="65478.07"/>
    <n v="39.049999999999997"/>
    <n v="3249168.74"/>
    <n v="813940.26"/>
    <n v="2435228.48"/>
    <n v="106998.65"/>
    <n v="-17828.82"/>
    <n v="-13733.03"/>
    <n v="75436.800000000003"/>
  </r>
  <r>
    <n v="552"/>
    <d v="2025-06-16T00:00:00"/>
    <x v="4"/>
    <n v="2"/>
    <s v="June"/>
    <n v="6"/>
    <x v="2"/>
    <x v="0"/>
    <s v="Consulting"/>
    <x v="5"/>
    <n v="96232.26"/>
    <n v="61070.74"/>
    <n v="35161.519999999997"/>
    <n v="3244.57"/>
    <n v="31916.95"/>
    <n v="33.17"/>
    <n v="3579959.12"/>
    <n v="1615593.19"/>
    <n v="1964365.93"/>
    <n v="63128.86"/>
    <n v="-21470.94"/>
    <n v="-25061.84"/>
    <n v="16596.080000000002"/>
  </r>
  <r>
    <n v="244"/>
    <d v="2025-06-20T00:00:00"/>
    <x v="4"/>
    <n v="2"/>
    <s v="June"/>
    <n v="6"/>
    <x v="4"/>
    <x v="3"/>
    <s v="Service Revenue"/>
    <x v="1"/>
    <n v="173001.28"/>
    <n v="109514.97"/>
    <n v="63486.31"/>
    <n v="10612.53"/>
    <n v="52873.78"/>
    <n v="30.56"/>
    <n v="2666972.0299999998"/>
    <n v="1344627.18"/>
    <n v="1322344.8500000001"/>
    <n v="30131.52"/>
    <n v="-66738.210000000006"/>
    <n v="-34229.71"/>
    <n v="-70836.399999999994"/>
  </r>
  <r>
    <n v="411"/>
    <d v="2025-06-21T00:00:00"/>
    <x v="4"/>
    <n v="2"/>
    <s v="June"/>
    <n v="6"/>
    <x v="4"/>
    <x v="2"/>
    <s v="Consulting"/>
    <x v="4"/>
    <n v="127698.03"/>
    <n v="95627.38"/>
    <n v="32070.65"/>
    <n v="7395.66"/>
    <n v="24674.99"/>
    <n v="19.32"/>
    <n v="4172355.69"/>
    <n v="1074707.71"/>
    <n v="3097647.98"/>
    <n v="53548.43"/>
    <n v="-49160.04"/>
    <n v="-26707.200000000001"/>
    <n v="-22318.81"/>
  </r>
  <r>
    <n v="291"/>
    <d v="2025-06-22T00:00:00"/>
    <x v="4"/>
    <n v="2"/>
    <s v="June"/>
    <n v="6"/>
    <x v="2"/>
    <x v="3"/>
    <s v="Service Revenue"/>
    <x v="5"/>
    <n v="58738.45"/>
    <n v="40812.839999999997"/>
    <n v="17925.61"/>
    <n v="2908.94"/>
    <n v="15016.67"/>
    <n v="25.57"/>
    <n v="523910.64"/>
    <n v="299570.98"/>
    <n v="224339.66"/>
    <n v="46841.440000000002"/>
    <n v="-15158.08"/>
    <n v="-33353.67"/>
    <n v="-1670.31"/>
  </r>
  <r>
    <n v="327"/>
    <d v="2025-06-23T00:00:00"/>
    <x v="4"/>
    <n v="2"/>
    <s v="June"/>
    <n v="6"/>
    <x v="4"/>
    <x v="1"/>
    <s v="Other Income"/>
    <x v="0"/>
    <n v="27969.1"/>
    <n v="21142.9"/>
    <n v="6826.2"/>
    <n v="1155.03"/>
    <n v="5671.17"/>
    <n v="20.28"/>
    <n v="3988598.23"/>
    <n v="1371161.37"/>
    <n v="2617436.86"/>
    <n v="3277.87"/>
    <n v="-66989.61"/>
    <n v="56149.23"/>
    <n v="-7562.51"/>
  </r>
  <r>
    <n v="257"/>
    <d v="2025-06-25T00:00:00"/>
    <x v="4"/>
    <n v="2"/>
    <s v="June"/>
    <n v="6"/>
    <x v="1"/>
    <x v="0"/>
    <s v="Consulting"/>
    <x v="0"/>
    <n v="137693.79999999999"/>
    <n v="90597.97"/>
    <n v="47095.83"/>
    <n v="11350.35"/>
    <n v="35745.480000000003"/>
    <n v="25.96"/>
    <n v="2733164.39"/>
    <n v="1099298.08"/>
    <n v="1633866.31"/>
    <n v="18788.310000000001"/>
    <n v="8620.57"/>
    <n v="33444.39"/>
    <n v="60853.27"/>
  </r>
  <r>
    <n v="9"/>
    <d v="2025-06-27T00:00:00"/>
    <x v="4"/>
    <n v="2"/>
    <s v="June"/>
    <n v="6"/>
    <x v="4"/>
    <x v="1"/>
    <s v="Service Revenue"/>
    <x v="3"/>
    <n v="147694.75"/>
    <n v="109612.95"/>
    <n v="38081.800000000003"/>
    <n v="3637"/>
    <n v="34444.800000000003"/>
    <n v="23.32"/>
    <n v="2724891.37"/>
    <n v="743959.39"/>
    <n v="1980931.98"/>
    <n v="48407.11"/>
    <n v="-25846.95"/>
    <n v="48770.42"/>
    <n v="71330.58"/>
  </r>
  <r>
    <n v="211"/>
    <d v="2025-07-02T00:00:00"/>
    <x v="4"/>
    <n v="3"/>
    <s v="July"/>
    <n v="7"/>
    <x v="2"/>
    <x v="0"/>
    <s v="Product Sales"/>
    <x v="0"/>
    <n v="93735.65"/>
    <n v="63063.78"/>
    <n v="30671.87"/>
    <n v="5537.47"/>
    <n v="25134.400000000001"/>
    <n v="26.81"/>
    <n v="4129652.04"/>
    <n v="1819497.24"/>
    <n v="2310154.7999999998"/>
    <n v="74824.240000000005"/>
    <n v="-64052.84"/>
    <n v="-39683.22"/>
    <n v="-28911.82"/>
  </r>
  <r>
    <n v="528"/>
    <d v="2025-07-02T00:00:00"/>
    <x v="4"/>
    <n v="3"/>
    <s v="July"/>
    <n v="7"/>
    <x v="5"/>
    <x v="0"/>
    <s v="Consulting"/>
    <x v="4"/>
    <n v="177768.11"/>
    <n v="125161.39"/>
    <n v="52606.720000000001"/>
    <n v="6387.22"/>
    <n v="46219.5"/>
    <n v="26"/>
    <n v="4093501.27"/>
    <n v="1198624.8799999999"/>
    <n v="2894876.39"/>
    <n v="78675.44"/>
    <n v="21019.61"/>
    <n v="-1716.66"/>
    <n v="97978.39"/>
  </r>
  <r>
    <n v="359"/>
    <d v="2025-07-07T00:00:00"/>
    <x v="4"/>
    <n v="3"/>
    <s v="July"/>
    <n v="7"/>
    <x v="5"/>
    <x v="1"/>
    <s v="Service Revenue"/>
    <x v="0"/>
    <n v="60649.03"/>
    <n v="36521.78"/>
    <n v="24127.25"/>
    <n v="2916.75"/>
    <n v="21210.5"/>
    <n v="34.97"/>
    <n v="3525727.29"/>
    <n v="2046423.34"/>
    <n v="1479303.95"/>
    <n v="45057.87"/>
    <n v="12435.04"/>
    <n v="-300.77999999999997"/>
    <n v="57192.13"/>
  </r>
  <r>
    <n v="258"/>
    <d v="2025-07-07T00:00:00"/>
    <x v="4"/>
    <n v="3"/>
    <s v="July"/>
    <n v="7"/>
    <x v="2"/>
    <x v="0"/>
    <s v="Product Sales"/>
    <x v="0"/>
    <n v="155044.59"/>
    <n v="70425.08"/>
    <n v="84619.51"/>
    <n v="16892.5"/>
    <n v="67727.009999999995"/>
    <n v="43.68"/>
    <n v="4866156.99"/>
    <n v="2068430.74"/>
    <n v="2797726.25"/>
    <n v="56524.88"/>
    <n v="487.1"/>
    <n v="41712.81"/>
    <n v="98724.79"/>
  </r>
  <r>
    <n v="569"/>
    <d v="2025-07-20T00:00:00"/>
    <x v="4"/>
    <n v="3"/>
    <s v="July"/>
    <n v="7"/>
    <x v="4"/>
    <x v="1"/>
    <s v="Service Revenue"/>
    <x v="4"/>
    <n v="100787.39"/>
    <n v="60547.11"/>
    <n v="40240.28"/>
    <n v="9968.19"/>
    <n v="30272.09"/>
    <n v="30.04"/>
    <n v="751668.58"/>
    <n v="230666.45"/>
    <n v="521002.13"/>
    <n v="4498.16"/>
    <n v="-7415.88"/>
    <n v="-34549.07"/>
    <n v="-37466.79"/>
  </r>
  <r>
    <n v="272"/>
    <d v="2025-07-20T00:00:00"/>
    <x v="4"/>
    <n v="3"/>
    <s v="July"/>
    <n v="7"/>
    <x v="1"/>
    <x v="3"/>
    <s v="Other Income"/>
    <x v="3"/>
    <n v="80175.509999999995"/>
    <n v="36548.080000000002"/>
    <n v="43627.43"/>
    <n v="4062.35"/>
    <n v="39565.08"/>
    <n v="49.35"/>
    <n v="4600257.28"/>
    <n v="1803044.77"/>
    <n v="2797212.51"/>
    <n v="43546.8"/>
    <n v="-48465.56"/>
    <n v="19709.580000000002"/>
    <n v="14790.82"/>
  </r>
  <r>
    <n v="467"/>
    <d v="2025-07-21T00:00:00"/>
    <x v="4"/>
    <n v="3"/>
    <s v="July"/>
    <n v="7"/>
    <x v="0"/>
    <x v="3"/>
    <s v="Other Income"/>
    <x v="2"/>
    <n v="74195.27"/>
    <n v="39436.129999999997"/>
    <n v="34759.14"/>
    <n v="5825.7"/>
    <n v="28933.439999999999"/>
    <n v="39"/>
    <n v="960651.88"/>
    <n v="529038.98"/>
    <n v="431612.9"/>
    <n v="71432.12"/>
    <n v="4343.5200000000004"/>
    <n v="13282.7"/>
    <n v="89058.34"/>
  </r>
  <r>
    <n v="216"/>
    <d v="2025-07-22T00:00:00"/>
    <x v="4"/>
    <n v="3"/>
    <s v="July"/>
    <n v="7"/>
    <x v="1"/>
    <x v="3"/>
    <s v="Other Income"/>
    <x v="4"/>
    <n v="122973.92"/>
    <n v="81593.820000000007"/>
    <n v="41380.1"/>
    <n v="8218.86"/>
    <n v="33161.24"/>
    <n v="26.97"/>
    <n v="527399.37"/>
    <n v="153144.37"/>
    <n v="374255"/>
    <n v="72676.78"/>
    <n v="-1825.14"/>
    <n v="-28706.84"/>
    <n v="42144.800000000003"/>
  </r>
  <r>
    <n v="317"/>
    <d v="2025-07-22T00:00:00"/>
    <x v="4"/>
    <n v="3"/>
    <s v="July"/>
    <n v="7"/>
    <x v="0"/>
    <x v="0"/>
    <s v="Other Income"/>
    <x v="2"/>
    <n v="44101.05"/>
    <n v="31243.67"/>
    <n v="12857.38"/>
    <n v="1938.18"/>
    <n v="10919.2"/>
    <n v="24.76"/>
    <n v="2812328.31"/>
    <n v="1719230.31"/>
    <n v="1093098"/>
    <n v="52109.9"/>
    <n v="11785.63"/>
    <n v="11014.84"/>
    <n v="74910.37"/>
  </r>
  <r>
    <n v="562"/>
    <d v="2025-07-23T00:00:00"/>
    <x v="4"/>
    <n v="3"/>
    <s v="July"/>
    <n v="7"/>
    <x v="4"/>
    <x v="1"/>
    <s v="Product Sales"/>
    <x v="2"/>
    <n v="56771.78"/>
    <n v="41133.33"/>
    <n v="15638.45"/>
    <n v="1390.06"/>
    <n v="14248.39"/>
    <n v="25.1"/>
    <n v="4336441.9000000004"/>
    <n v="1427897.32"/>
    <n v="2908544.58"/>
    <n v="54200.23"/>
    <n v="-34747.08"/>
    <n v="32268.36"/>
    <n v="51721.51"/>
  </r>
  <r>
    <n v="340"/>
    <d v="2025-08-03T00:00:00"/>
    <x v="4"/>
    <n v="3"/>
    <s v="August"/>
    <n v="8"/>
    <x v="3"/>
    <x v="0"/>
    <s v="Consulting"/>
    <x v="5"/>
    <n v="111383.14"/>
    <n v="56552.92"/>
    <n v="54830.22"/>
    <n v="12165.75"/>
    <n v="42664.47"/>
    <n v="38.299999999999997"/>
    <n v="2112505.96"/>
    <n v="1299522.78"/>
    <n v="812983.18"/>
    <n v="57919.519999999997"/>
    <n v="-51732.76"/>
    <n v="-26040.11"/>
    <n v="-19853.349999999999"/>
  </r>
  <r>
    <n v="193"/>
    <d v="2025-08-06T00:00:00"/>
    <x v="4"/>
    <n v="3"/>
    <s v="August"/>
    <n v="8"/>
    <x v="0"/>
    <x v="2"/>
    <s v="Product Sales"/>
    <x v="1"/>
    <n v="31952.3"/>
    <n v="19705.650000000001"/>
    <n v="12246.65"/>
    <n v="2914.73"/>
    <n v="9331.92"/>
    <n v="29.21"/>
    <n v="1243417.73"/>
    <n v="504764.11"/>
    <n v="738653.62"/>
    <n v="37720.74"/>
    <n v="18225.86"/>
    <n v="27094.3"/>
    <n v="83040.899999999994"/>
  </r>
  <r>
    <n v="586"/>
    <d v="2025-08-07T00:00:00"/>
    <x v="4"/>
    <n v="3"/>
    <s v="August"/>
    <n v="8"/>
    <x v="2"/>
    <x v="3"/>
    <s v="Product Sales"/>
    <x v="0"/>
    <n v="128046.79"/>
    <n v="62606.080000000002"/>
    <n v="65440.71"/>
    <n v="12711.42"/>
    <n v="52729.29"/>
    <n v="41.18"/>
    <n v="3359425.64"/>
    <n v="1922618"/>
    <n v="1436807.64"/>
    <n v="88749.18"/>
    <n v="16820.310000000001"/>
    <n v="1413.15"/>
    <n v="106982.64"/>
  </r>
  <r>
    <n v="348"/>
    <d v="2025-08-10T00:00:00"/>
    <x v="4"/>
    <n v="3"/>
    <s v="August"/>
    <n v="8"/>
    <x v="5"/>
    <x v="1"/>
    <s v="Other Income"/>
    <x v="1"/>
    <n v="104684.79"/>
    <n v="59056.17"/>
    <n v="45628.62"/>
    <n v="8095.3"/>
    <n v="37533.32"/>
    <n v="35.85"/>
    <n v="1963450.38"/>
    <n v="521704.01"/>
    <n v="1441746.37"/>
    <n v="29293.21"/>
    <n v="-69362.100000000006"/>
    <n v="57835.48"/>
    <n v="17766.59"/>
  </r>
  <r>
    <n v="547"/>
    <d v="2025-08-10T00:00:00"/>
    <x v="4"/>
    <n v="3"/>
    <s v="August"/>
    <n v="8"/>
    <x v="1"/>
    <x v="0"/>
    <s v="Consulting"/>
    <x v="2"/>
    <n v="28045.98"/>
    <n v="21746.16"/>
    <n v="6299.82"/>
    <n v="1538.12"/>
    <n v="4761.7"/>
    <n v="16.98"/>
    <n v="2037066.74"/>
    <n v="785091.13"/>
    <n v="1251975.6100000001"/>
    <n v="-24670.95"/>
    <n v="-1974.93"/>
    <n v="42543.99"/>
    <n v="15898.11"/>
  </r>
  <r>
    <n v="21"/>
    <d v="2025-08-13T00:00:00"/>
    <x v="4"/>
    <n v="3"/>
    <s v="August"/>
    <n v="8"/>
    <x v="4"/>
    <x v="1"/>
    <s v="Service Revenue"/>
    <x v="6"/>
    <n v="57120.29"/>
    <n v="44264.89"/>
    <n v="12855.4"/>
    <n v="2682.79"/>
    <n v="10172.61"/>
    <n v="17.809999999999999"/>
    <n v="711034.11"/>
    <n v="254172.65"/>
    <n v="456861.46"/>
    <n v="-18052.61"/>
    <n v="-20183.48"/>
    <n v="7621.07"/>
    <n v="-30615.02"/>
  </r>
  <r>
    <n v="465"/>
    <d v="2025-08-14T00:00:00"/>
    <x v="4"/>
    <n v="3"/>
    <s v="August"/>
    <n v="8"/>
    <x v="1"/>
    <x v="0"/>
    <s v="Service Revenue"/>
    <x v="0"/>
    <n v="87657.45"/>
    <n v="71660.679999999993"/>
    <n v="15996.77"/>
    <n v="3641.74"/>
    <n v="12355.03"/>
    <n v="14.09"/>
    <n v="3040879.36"/>
    <n v="1388620.71"/>
    <n v="1652258.65"/>
    <n v="5123.0600000000004"/>
    <n v="-18279.060000000001"/>
    <n v="44818.15"/>
    <n v="31662.15"/>
  </r>
  <r>
    <n v="19"/>
    <d v="2025-08-15T00:00:00"/>
    <x v="4"/>
    <n v="3"/>
    <s v="August"/>
    <n v="8"/>
    <x v="5"/>
    <x v="0"/>
    <s v="Product Sales"/>
    <x v="3"/>
    <n v="85913.36"/>
    <n v="65018.44"/>
    <n v="20894.919999999998"/>
    <n v="3693.05"/>
    <n v="17201.87"/>
    <n v="20.02"/>
    <n v="785803.23"/>
    <n v="208024.7"/>
    <n v="577778.53"/>
    <n v="-2089.96"/>
    <n v="-68632.800000000003"/>
    <n v="-32464.09"/>
    <n v="-103186.85"/>
  </r>
  <r>
    <n v="505"/>
    <d v="2025-08-16T00:00:00"/>
    <x v="4"/>
    <n v="3"/>
    <s v="August"/>
    <n v="8"/>
    <x v="5"/>
    <x v="0"/>
    <s v="Service Revenue"/>
    <x v="2"/>
    <n v="41463.14"/>
    <n v="30561.43"/>
    <n v="10901.71"/>
    <n v="2369.52"/>
    <n v="8532.19"/>
    <n v="20.58"/>
    <n v="3954940.78"/>
    <n v="1169026.53"/>
    <n v="2785914.25"/>
    <n v="30044.83"/>
    <n v="13432.48"/>
    <n v="17735.34"/>
    <n v="61212.65"/>
  </r>
  <r>
    <n v="546"/>
    <d v="2025-08-21T00:00:00"/>
    <x v="4"/>
    <n v="3"/>
    <s v="August"/>
    <n v="8"/>
    <x v="5"/>
    <x v="1"/>
    <s v="Service Revenue"/>
    <x v="1"/>
    <n v="28823.84"/>
    <n v="17310.23"/>
    <n v="11513.61"/>
    <n v="1353.07"/>
    <n v="10160.540000000001"/>
    <n v="35.25"/>
    <n v="2899887.63"/>
    <n v="1880279.77"/>
    <n v="1019607.86"/>
    <n v="44203.43"/>
    <n v="14564.21"/>
    <n v="23526.5"/>
    <n v="82294.14"/>
  </r>
  <r>
    <n v="399"/>
    <d v="2025-08-21T00:00:00"/>
    <x v="4"/>
    <n v="3"/>
    <s v="August"/>
    <n v="8"/>
    <x v="1"/>
    <x v="3"/>
    <s v="Service Revenue"/>
    <x v="4"/>
    <n v="42416.49"/>
    <n v="24297.65"/>
    <n v="18118.84"/>
    <n v="3857.09"/>
    <n v="14261.75"/>
    <n v="33.619999999999997"/>
    <n v="2466731.85"/>
    <n v="1236074.81"/>
    <n v="1230657.04"/>
    <n v="36058.39"/>
    <n v="14375.5"/>
    <n v="-7507.72"/>
    <n v="42926.17"/>
  </r>
  <r>
    <n v="277"/>
    <d v="2025-08-23T00:00:00"/>
    <x v="4"/>
    <n v="3"/>
    <s v="August"/>
    <n v="8"/>
    <x v="4"/>
    <x v="0"/>
    <s v="Consulting"/>
    <x v="6"/>
    <n v="26781.33"/>
    <n v="16102.21"/>
    <n v="10679.12"/>
    <n v="2531.85"/>
    <n v="8147.27"/>
    <n v="30.42"/>
    <n v="1003462.77"/>
    <n v="458150.75"/>
    <n v="545312.02"/>
    <n v="41069.06"/>
    <n v="24253.13"/>
    <n v="34677.660000000003"/>
    <n v="99999.85"/>
  </r>
  <r>
    <n v="243"/>
    <d v="2025-08-23T00:00:00"/>
    <x v="4"/>
    <n v="3"/>
    <s v="August"/>
    <n v="8"/>
    <x v="3"/>
    <x v="2"/>
    <s v="Consulting"/>
    <x v="0"/>
    <n v="104775.96"/>
    <n v="78483.679999999993"/>
    <n v="26292.28"/>
    <n v="3237.88"/>
    <n v="23054.400000000001"/>
    <n v="22"/>
    <n v="1606133.48"/>
    <n v="660290.72"/>
    <n v="945842.76"/>
    <n v="64625.82"/>
    <n v="-69955.72"/>
    <n v="50138.31"/>
    <n v="44808.41"/>
  </r>
  <r>
    <n v="356"/>
    <d v="2025-08-24T00:00:00"/>
    <x v="4"/>
    <n v="3"/>
    <s v="August"/>
    <n v="8"/>
    <x v="5"/>
    <x v="1"/>
    <s v="Service Revenue"/>
    <x v="6"/>
    <n v="159956.71"/>
    <n v="76923.86"/>
    <n v="83032.850000000006"/>
    <n v="9622.7900000000009"/>
    <n v="73410.06"/>
    <n v="45.89"/>
    <n v="3886107.52"/>
    <n v="1051260.24"/>
    <n v="2834847.28"/>
    <n v="82812.89"/>
    <n v="-25789.3"/>
    <n v="-6559.88"/>
    <n v="50463.71"/>
  </r>
  <r>
    <n v="136"/>
    <d v="2025-08-26T00:00:00"/>
    <x v="4"/>
    <n v="3"/>
    <s v="August"/>
    <n v="8"/>
    <x v="5"/>
    <x v="2"/>
    <s v="Service Revenue"/>
    <x v="3"/>
    <n v="52553.79"/>
    <n v="37097.65"/>
    <n v="15456.14"/>
    <n v="2860.45"/>
    <n v="12595.69"/>
    <n v="23.97"/>
    <n v="3349353.32"/>
    <n v="1143997.8899999999"/>
    <n v="2205355.4300000002"/>
    <n v="1207.33"/>
    <n v="-47919.74"/>
    <n v="-22624.74"/>
    <n v="-69337.149999999994"/>
  </r>
  <r>
    <n v="237"/>
    <d v="2025-08-28T00:00:00"/>
    <x v="4"/>
    <n v="3"/>
    <s v="August"/>
    <n v="8"/>
    <x v="1"/>
    <x v="3"/>
    <s v="Service Revenue"/>
    <x v="4"/>
    <n v="173479.79"/>
    <n v="112063.45"/>
    <n v="61416.34"/>
    <n v="7438.86"/>
    <n v="53977.48"/>
    <n v="31.11"/>
    <n v="2752716.07"/>
    <n v="1436499.74"/>
    <n v="1316216.33"/>
    <n v="30076.62"/>
    <n v="-42529.62"/>
    <n v="40696.550000000003"/>
    <n v="28243.55"/>
  </r>
  <r>
    <n v="378"/>
    <d v="2025-09-01T00:00:00"/>
    <x v="4"/>
    <n v="3"/>
    <s v="September"/>
    <n v="9"/>
    <x v="4"/>
    <x v="2"/>
    <s v="Service Revenue"/>
    <x v="3"/>
    <n v="152110.46"/>
    <n v="70789.81"/>
    <n v="81320.649999999994"/>
    <n v="13392.05"/>
    <n v="67928.600000000006"/>
    <n v="44.66"/>
    <n v="3601896.85"/>
    <n v="1263994.83"/>
    <n v="2337902.02"/>
    <n v="62550.27"/>
    <n v="-8636.2099999999991"/>
    <n v="49793.53"/>
    <n v="103707.59"/>
  </r>
  <r>
    <n v="478"/>
    <d v="2025-09-02T00:00:00"/>
    <x v="4"/>
    <n v="3"/>
    <s v="September"/>
    <n v="9"/>
    <x v="4"/>
    <x v="2"/>
    <s v="Other Income"/>
    <x v="4"/>
    <n v="141301.26999999999"/>
    <n v="79830.23"/>
    <n v="61471.040000000001"/>
    <n v="10294.14"/>
    <n v="51176.9"/>
    <n v="36.22"/>
    <n v="4355759.07"/>
    <n v="1902383.17"/>
    <n v="2453375.9"/>
    <n v="49954.49"/>
    <n v="-16384.46"/>
    <n v="31736.28"/>
    <n v="65306.31"/>
  </r>
  <r>
    <n v="43"/>
    <d v="2025-09-02T00:00:00"/>
    <x v="4"/>
    <n v="3"/>
    <s v="September"/>
    <n v="9"/>
    <x v="0"/>
    <x v="3"/>
    <s v="Consulting"/>
    <x v="3"/>
    <n v="108154.61"/>
    <n v="63828.959999999999"/>
    <n v="44325.65"/>
    <n v="6989.71"/>
    <n v="37335.94"/>
    <n v="34.520000000000003"/>
    <n v="3217810.42"/>
    <n v="1450960.08"/>
    <n v="1766850.34"/>
    <n v="50524.79"/>
    <n v="-21364.25"/>
    <n v="895.52"/>
    <n v="30056.06"/>
  </r>
  <r>
    <n v="275"/>
    <d v="2025-09-04T00:00:00"/>
    <x v="4"/>
    <n v="3"/>
    <s v="September"/>
    <n v="9"/>
    <x v="1"/>
    <x v="3"/>
    <s v="Consulting"/>
    <x v="4"/>
    <n v="88757.62"/>
    <n v="68634.27"/>
    <n v="20123.349999999999"/>
    <n v="3792.29"/>
    <n v="16331.06"/>
    <n v="18.399999999999999"/>
    <n v="4251394.0999999996"/>
    <n v="1912161.04"/>
    <n v="2339233.06"/>
    <n v="29133.1"/>
    <n v="-55561.24"/>
    <n v="38398.74"/>
    <n v="11970.6"/>
  </r>
  <r>
    <n v="180"/>
    <d v="2025-09-11T00:00:00"/>
    <x v="4"/>
    <n v="3"/>
    <s v="September"/>
    <n v="9"/>
    <x v="2"/>
    <x v="1"/>
    <s v="Other Income"/>
    <x v="5"/>
    <n v="58407.13"/>
    <n v="34071.199999999997"/>
    <n v="24335.93"/>
    <n v="2230.29"/>
    <n v="22105.64"/>
    <n v="37.85"/>
    <n v="3934198.81"/>
    <n v="1626093.03"/>
    <n v="2308105.7799999998"/>
    <n v="52845.54"/>
    <n v="20360.78"/>
    <n v="-16723.689999999999"/>
    <n v="56482.63"/>
  </r>
  <r>
    <n v="247"/>
    <d v="2025-09-12T00:00:00"/>
    <x v="4"/>
    <n v="3"/>
    <s v="September"/>
    <n v="9"/>
    <x v="5"/>
    <x v="1"/>
    <s v="Service Revenue"/>
    <x v="6"/>
    <n v="105088.25"/>
    <n v="76792.95"/>
    <n v="28295.3"/>
    <n v="3622.49"/>
    <n v="24672.81"/>
    <n v="23.48"/>
    <n v="2088726.76"/>
    <n v="1269189.17"/>
    <n v="819537.59"/>
    <n v="70389.33"/>
    <n v="19255.82"/>
    <n v="1944.8"/>
    <n v="91589.95"/>
  </r>
  <r>
    <n v="515"/>
    <d v="2025-09-12T00:00:00"/>
    <x v="4"/>
    <n v="3"/>
    <s v="September"/>
    <n v="9"/>
    <x v="5"/>
    <x v="2"/>
    <s v="Service Revenue"/>
    <x v="4"/>
    <n v="160953.67000000001"/>
    <n v="86911.21"/>
    <n v="74042.460000000006"/>
    <n v="12853.55"/>
    <n v="61188.91"/>
    <n v="38.020000000000003"/>
    <n v="1366219.18"/>
    <n v="397230.28"/>
    <n v="968988.9"/>
    <n v="104078.55"/>
    <n v="12050.75"/>
    <n v="36003.49"/>
    <n v="152132.79"/>
  </r>
  <r>
    <n v="506"/>
    <d v="2025-09-18T00:00:00"/>
    <x v="4"/>
    <n v="3"/>
    <s v="September"/>
    <n v="9"/>
    <x v="5"/>
    <x v="3"/>
    <s v="Consulting"/>
    <x v="1"/>
    <n v="106949.63"/>
    <n v="49487.67"/>
    <n v="57461.96"/>
    <n v="10838.69"/>
    <n v="46623.27"/>
    <n v="43.59"/>
    <n v="866512.46"/>
    <n v="367406.34"/>
    <n v="499106.12"/>
    <n v="40035.68"/>
    <n v="-15457.2"/>
    <n v="-26658.37"/>
    <n v="-2079.89"/>
  </r>
  <r>
    <n v="199"/>
    <d v="2025-09-19T00:00:00"/>
    <x v="4"/>
    <n v="3"/>
    <s v="September"/>
    <n v="9"/>
    <x v="4"/>
    <x v="2"/>
    <s v="Other Income"/>
    <x v="2"/>
    <n v="67684.08"/>
    <n v="38128.879999999997"/>
    <n v="29555.200000000001"/>
    <n v="6328.58"/>
    <n v="23226.62"/>
    <n v="34.32"/>
    <n v="2508887.8199999998"/>
    <n v="1428440.64"/>
    <n v="1080447.18"/>
    <n v="59020.41"/>
    <n v="15756.23"/>
    <n v="51663.519999999997"/>
    <n v="126440.16"/>
  </r>
  <r>
    <n v="7"/>
    <d v="2025-09-21T00:00:00"/>
    <x v="4"/>
    <n v="3"/>
    <s v="September"/>
    <n v="9"/>
    <x v="2"/>
    <x v="1"/>
    <s v="Other Income"/>
    <x v="1"/>
    <n v="40984.199999999997"/>
    <n v="32129.34"/>
    <n v="8854.86"/>
    <n v="1468.96"/>
    <n v="7385.9"/>
    <n v="18.02"/>
    <n v="4219058.5999999996"/>
    <n v="1594887.86"/>
    <n v="2624170.7400000002"/>
    <n v="49027.76"/>
    <n v="-31079.83"/>
    <n v="-38916.230000000003"/>
    <n v="-20968.3"/>
  </r>
  <r>
    <n v="108"/>
    <d v="2025-09-22T00:00:00"/>
    <x v="4"/>
    <n v="3"/>
    <s v="September"/>
    <n v="9"/>
    <x v="0"/>
    <x v="2"/>
    <s v="Service Revenue"/>
    <x v="5"/>
    <n v="46645.94"/>
    <n v="21507.99"/>
    <n v="25137.95"/>
    <n v="3326.96"/>
    <n v="21810.99"/>
    <n v="46.76"/>
    <n v="3671063.43"/>
    <n v="1214172.5900000001"/>
    <n v="2456890.84"/>
    <n v="45685.58"/>
    <n v="26991.200000000001"/>
    <n v="-30609.93"/>
    <n v="42066.85"/>
  </r>
  <r>
    <n v="373"/>
    <d v="2025-09-26T00:00:00"/>
    <x v="4"/>
    <n v="3"/>
    <s v="September"/>
    <n v="9"/>
    <x v="3"/>
    <x v="2"/>
    <s v="Consulting"/>
    <x v="5"/>
    <n v="84526.61"/>
    <n v="58874.400000000001"/>
    <n v="25652.21"/>
    <n v="6364.37"/>
    <n v="19287.84"/>
    <n v="22.82"/>
    <n v="1515774.76"/>
    <n v="615343.77"/>
    <n v="900430.99"/>
    <n v="27691.63"/>
    <n v="-56198.45"/>
    <n v="-31896.14"/>
    <n v="-60402.96"/>
  </r>
  <r>
    <n v="278"/>
    <d v="2025-09-30T00:00:00"/>
    <x v="4"/>
    <n v="3"/>
    <s v="September"/>
    <n v="9"/>
    <x v="1"/>
    <x v="2"/>
    <s v="Other Income"/>
    <x v="1"/>
    <n v="94161.19"/>
    <n v="70447.87"/>
    <n v="23713.32"/>
    <n v="1929.17"/>
    <n v="21784.15"/>
    <n v="23.13"/>
    <n v="4660524.75"/>
    <n v="1991547.57"/>
    <n v="2668977.1800000002"/>
    <n v="36054.57"/>
    <n v="-44511.78"/>
    <n v="34253.08"/>
    <n v="25795.87"/>
  </r>
  <r>
    <n v="314"/>
    <d v="2025-10-01T00:00:00"/>
    <x v="4"/>
    <n v="4"/>
    <s v="October"/>
    <n v="10"/>
    <x v="1"/>
    <x v="0"/>
    <s v="Consulting"/>
    <x v="2"/>
    <n v="145986.18"/>
    <n v="82093.990000000005"/>
    <n v="63892.19"/>
    <n v="8496.85"/>
    <n v="55395.34"/>
    <n v="37.950000000000003"/>
    <n v="514134.08"/>
    <n v="164367.31"/>
    <n v="349766.77"/>
    <n v="95427.79"/>
    <n v="-25825.35"/>
    <n v="58423.45"/>
    <n v="128025.89"/>
  </r>
  <r>
    <n v="376"/>
    <d v="2025-10-10T00:00:00"/>
    <x v="4"/>
    <n v="4"/>
    <s v="October"/>
    <n v="10"/>
    <x v="5"/>
    <x v="2"/>
    <s v="Service Revenue"/>
    <x v="2"/>
    <n v="39337.57"/>
    <n v="29059.79"/>
    <n v="10277.780000000001"/>
    <n v="1999.33"/>
    <n v="8278.4500000000007"/>
    <n v="21.04"/>
    <n v="3953744.74"/>
    <n v="1474793.91"/>
    <n v="2478950.83"/>
    <n v="17642.810000000001"/>
    <n v="9650.85"/>
    <n v="-16745.87"/>
    <n v="10547.79"/>
  </r>
  <r>
    <n v="110"/>
    <d v="2025-10-15T00:00:00"/>
    <x v="4"/>
    <n v="4"/>
    <s v="October"/>
    <n v="10"/>
    <x v="1"/>
    <x v="2"/>
    <s v="Service Revenue"/>
    <x v="3"/>
    <n v="131876.65"/>
    <n v="92354.53"/>
    <n v="39522.120000000003"/>
    <n v="4610.84"/>
    <n v="34911.279999999999"/>
    <n v="26.47"/>
    <n v="3464984.62"/>
    <n v="1412139.8"/>
    <n v="2052844.82"/>
    <n v="57009.919999999998"/>
    <n v="-59340.7"/>
    <n v="25784.53"/>
    <n v="23453.75"/>
  </r>
  <r>
    <n v="105"/>
    <d v="2025-10-17T00:00:00"/>
    <x v="4"/>
    <n v="4"/>
    <s v="October"/>
    <n v="10"/>
    <x v="1"/>
    <x v="3"/>
    <s v="Service Revenue"/>
    <x v="1"/>
    <n v="127889.7"/>
    <n v="80009.509999999995"/>
    <n v="47880.19"/>
    <n v="10701.65"/>
    <n v="37178.54"/>
    <n v="29.07"/>
    <n v="4125515.69"/>
    <n v="1997334.37"/>
    <n v="2128181.3199999998"/>
    <n v="76640.240000000005"/>
    <n v="-49415.88"/>
    <n v="-28808.04"/>
    <n v="-1583.68"/>
  </r>
  <r>
    <n v="155"/>
    <d v="2025-10-18T00:00:00"/>
    <x v="4"/>
    <n v="4"/>
    <s v="October"/>
    <n v="10"/>
    <x v="0"/>
    <x v="2"/>
    <s v="Service Revenue"/>
    <x v="3"/>
    <n v="25498.83"/>
    <n v="17320.03"/>
    <n v="8178.8"/>
    <n v="1148.58"/>
    <n v="7030.22"/>
    <n v="27.57"/>
    <n v="4073887.99"/>
    <n v="1170005.3799999999"/>
    <n v="2903882.61"/>
    <n v="24086.400000000001"/>
    <n v="-21902.71"/>
    <n v="24232.55"/>
    <n v="26416.240000000002"/>
  </r>
  <r>
    <n v="188"/>
    <d v="2025-10-24T00:00:00"/>
    <x v="4"/>
    <n v="4"/>
    <s v="October"/>
    <n v="10"/>
    <x v="5"/>
    <x v="2"/>
    <s v="Other Income"/>
    <x v="4"/>
    <n v="77826.429999999993"/>
    <n v="39768.15"/>
    <n v="38058.28"/>
    <n v="4148.3100000000004"/>
    <n v="33909.97"/>
    <n v="43.57"/>
    <n v="4766487.4400000004"/>
    <n v="2040525.86"/>
    <n v="2725961.58"/>
    <n v="67014.149999999994"/>
    <n v="-6039.44"/>
    <n v="27642.639999999999"/>
    <n v="88617.35"/>
  </r>
  <r>
    <n v="456"/>
    <d v="2025-10-25T00:00:00"/>
    <x v="4"/>
    <n v="4"/>
    <s v="October"/>
    <n v="10"/>
    <x v="3"/>
    <x v="3"/>
    <s v="Other Income"/>
    <x v="4"/>
    <n v="69403.429999999993"/>
    <n v="44535.39"/>
    <n v="24868.04"/>
    <n v="5151.7299999999996"/>
    <n v="19716.310000000001"/>
    <n v="28.41"/>
    <n v="4264389.01"/>
    <n v="2267521.16"/>
    <n v="1996867.85"/>
    <n v="64004.06"/>
    <n v="3874.35"/>
    <n v="-9373.2099999999991"/>
    <n v="58505.2"/>
  </r>
  <r>
    <n v="268"/>
    <d v="2025-10-26T00:00:00"/>
    <x v="4"/>
    <n v="4"/>
    <s v="October"/>
    <n v="10"/>
    <x v="2"/>
    <x v="0"/>
    <s v="Other Income"/>
    <x v="1"/>
    <n v="41415.4"/>
    <n v="21009.48"/>
    <n v="20405.919999999998"/>
    <n v="4909.7700000000004"/>
    <n v="15496.15"/>
    <n v="37.42"/>
    <n v="3814408.53"/>
    <n v="2300841.7999999998"/>
    <n v="1513566.73"/>
    <n v="1706.76"/>
    <n v="-11241.41"/>
    <n v="30113.96"/>
    <n v="20579.310000000001"/>
  </r>
  <r>
    <n v="162"/>
    <d v="2025-10-29T00:00:00"/>
    <x v="4"/>
    <n v="4"/>
    <s v="October"/>
    <n v="10"/>
    <x v="5"/>
    <x v="1"/>
    <s v="Consulting"/>
    <x v="3"/>
    <n v="119584.9"/>
    <n v="59802.14"/>
    <n v="59782.76"/>
    <n v="12418.9"/>
    <n v="47363.86"/>
    <n v="39.61"/>
    <n v="3456298.2"/>
    <n v="2186612.71"/>
    <n v="1269685.49"/>
    <n v="22880.5"/>
    <n v="-64294.53"/>
    <n v="-11781.29"/>
    <n v="-53195.32"/>
  </r>
  <r>
    <n v="434"/>
    <d v="2025-11-04T00:00:00"/>
    <x v="4"/>
    <n v="4"/>
    <s v="November"/>
    <n v="11"/>
    <x v="4"/>
    <x v="2"/>
    <s v="Consulting"/>
    <x v="0"/>
    <n v="155199.65"/>
    <n v="89325.07"/>
    <n v="65874.58"/>
    <n v="13208.7"/>
    <n v="52665.88"/>
    <n v="33.93"/>
    <n v="4972027.8899999997"/>
    <n v="1868744.46"/>
    <n v="3103283.43"/>
    <n v="76587.28"/>
    <n v="14431.49"/>
    <n v="51580.76"/>
    <n v="142599.53"/>
  </r>
  <r>
    <n v="229"/>
    <d v="2025-11-04T00:00:00"/>
    <x v="4"/>
    <n v="4"/>
    <s v="November"/>
    <n v="11"/>
    <x v="2"/>
    <x v="2"/>
    <s v="Service Revenue"/>
    <x v="6"/>
    <n v="27277.48"/>
    <n v="16100.94"/>
    <n v="11176.54"/>
    <n v="1535.08"/>
    <n v="9641.4599999999991"/>
    <n v="35.35"/>
    <n v="586974.34"/>
    <n v="175944.01"/>
    <n v="411030.33"/>
    <n v="12732.87"/>
    <n v="-20713.54"/>
    <n v="428.97"/>
    <n v="-7551.7"/>
  </r>
  <r>
    <n v="112"/>
    <d v="2025-11-08T00:00:00"/>
    <x v="4"/>
    <n v="4"/>
    <s v="November"/>
    <n v="11"/>
    <x v="2"/>
    <x v="2"/>
    <s v="Service Revenue"/>
    <x v="3"/>
    <n v="150216.12"/>
    <n v="109965.03"/>
    <n v="40251.089999999997"/>
    <n v="8679.27"/>
    <n v="31571.82"/>
    <n v="21.02"/>
    <n v="2460124.92"/>
    <n v="1419820.96"/>
    <n v="1040303.96"/>
    <n v="11188.54"/>
    <n v="-15551.09"/>
    <n v="-39424.129999999997"/>
    <n v="-43786.68"/>
  </r>
  <r>
    <n v="597"/>
    <d v="2025-11-09T00:00:00"/>
    <x v="4"/>
    <n v="4"/>
    <s v="November"/>
    <n v="11"/>
    <x v="5"/>
    <x v="3"/>
    <s v="Product Sales"/>
    <x v="0"/>
    <n v="30092.79"/>
    <n v="19099.68"/>
    <n v="10993.11"/>
    <n v="2001.88"/>
    <n v="8991.23"/>
    <n v="29.88"/>
    <n v="781158.93"/>
    <n v="420646.11"/>
    <n v="360512.82"/>
    <n v="-2577.16"/>
    <n v="-1479.85"/>
    <n v="58189.71"/>
    <n v="54132.7"/>
  </r>
  <r>
    <n v="566"/>
    <d v="2025-11-10T00:00:00"/>
    <x v="4"/>
    <n v="4"/>
    <s v="November"/>
    <n v="11"/>
    <x v="0"/>
    <x v="1"/>
    <s v="Product Sales"/>
    <x v="2"/>
    <n v="121186.31"/>
    <n v="83156.78"/>
    <n v="38029.53"/>
    <n v="7563.9"/>
    <n v="30465.63"/>
    <n v="25.14"/>
    <n v="1004052.71"/>
    <n v="592176"/>
    <n v="411876.71"/>
    <n v="43093.4"/>
    <n v="-22867.82"/>
    <n v="58109.760000000002"/>
    <n v="78335.34"/>
  </r>
  <r>
    <n v="329"/>
    <d v="2025-11-23T00:00:00"/>
    <x v="4"/>
    <n v="4"/>
    <s v="November"/>
    <n v="11"/>
    <x v="4"/>
    <x v="2"/>
    <s v="Product Sales"/>
    <x v="2"/>
    <n v="26594.1"/>
    <n v="19013.150000000001"/>
    <n v="7580.95"/>
    <n v="1516.66"/>
    <n v="6064.29"/>
    <n v="22.8"/>
    <n v="3302102.93"/>
    <n v="2133302.2599999998"/>
    <n v="1168800.67"/>
    <n v="1014.64"/>
    <n v="-36002.81"/>
    <n v="-32106.06"/>
    <n v="-67094.23"/>
  </r>
  <r>
    <n v="166"/>
    <d v="2025-11-28T00:00:00"/>
    <x v="4"/>
    <n v="4"/>
    <s v="November"/>
    <n v="11"/>
    <x v="0"/>
    <x v="0"/>
    <s v="Service Revenue"/>
    <x v="6"/>
    <n v="79173.490000000005"/>
    <n v="38970.410000000003"/>
    <n v="40203.08"/>
    <n v="4249.95"/>
    <n v="35953.129999999997"/>
    <n v="45.41"/>
    <n v="1513926.18"/>
    <n v="530459.54"/>
    <n v="983466.64"/>
    <n v="74002.41"/>
    <n v="-13877.72"/>
    <n v="12339.09"/>
    <n v="72463.78"/>
  </r>
  <r>
    <n v="304"/>
    <d v="2025-11-30T00:00:00"/>
    <x v="4"/>
    <n v="4"/>
    <s v="November"/>
    <n v="11"/>
    <x v="5"/>
    <x v="0"/>
    <s v="Consulting"/>
    <x v="1"/>
    <n v="170689.43"/>
    <n v="108640.65"/>
    <n v="62048.78"/>
    <n v="14976.35"/>
    <n v="47072.43"/>
    <n v="27.58"/>
    <n v="4247743.5599999996"/>
    <n v="1677742.02"/>
    <n v="2570001.54"/>
    <n v="86163.74"/>
    <n v="-58993.67"/>
    <n v="52504.72"/>
    <n v="79674.789999999994"/>
  </r>
  <r>
    <n v="91"/>
    <d v="2025-12-01T00:00:00"/>
    <x v="4"/>
    <n v="4"/>
    <s v="December"/>
    <n v="12"/>
    <x v="3"/>
    <x v="2"/>
    <s v="Consulting"/>
    <x v="5"/>
    <n v="116490.91"/>
    <n v="71094.55"/>
    <n v="45396.36"/>
    <n v="11228.32"/>
    <n v="34168.04"/>
    <n v="29.33"/>
    <n v="1173112.8899999999"/>
    <n v="511288.86"/>
    <n v="661824.03"/>
    <n v="58604.57"/>
    <n v="-30445.49"/>
    <n v="57469.99"/>
    <n v="85629.07"/>
  </r>
  <r>
    <n v="140"/>
    <d v="2025-12-02T00:00:00"/>
    <x v="4"/>
    <n v="4"/>
    <s v="December"/>
    <n v="12"/>
    <x v="2"/>
    <x v="0"/>
    <s v="Other Income"/>
    <x v="1"/>
    <n v="159022.35999999999"/>
    <n v="85885.89"/>
    <n v="73136.47"/>
    <n v="13953.77"/>
    <n v="59182.7"/>
    <n v="37.22"/>
    <n v="4148086.68"/>
    <n v="2055926.67"/>
    <n v="2092160.01"/>
    <n v="97947.92"/>
    <n v="-30760.63"/>
    <n v="55622.22"/>
    <n v="122809.51"/>
  </r>
  <r>
    <n v="491"/>
    <d v="2025-12-05T00:00:00"/>
    <x v="4"/>
    <n v="4"/>
    <s v="December"/>
    <n v="12"/>
    <x v="2"/>
    <x v="0"/>
    <s v="Product Sales"/>
    <x v="5"/>
    <n v="78778.64"/>
    <n v="48036.74"/>
    <n v="30741.9"/>
    <n v="6545.03"/>
    <n v="24196.87"/>
    <n v="30.72"/>
    <n v="2678778.64"/>
    <n v="1520490.24"/>
    <n v="1158288.3999999999"/>
    <n v="40315.980000000003"/>
    <n v="-35793.06"/>
    <n v="40997.870000000003"/>
    <n v="45520.79"/>
  </r>
  <r>
    <n v="405"/>
    <d v="2025-12-05T00:00:00"/>
    <x v="4"/>
    <n v="4"/>
    <s v="December"/>
    <n v="12"/>
    <x v="2"/>
    <x v="2"/>
    <s v="Product Sales"/>
    <x v="2"/>
    <n v="112945.60000000001"/>
    <n v="84100.44"/>
    <n v="28845.16"/>
    <n v="5911.94"/>
    <n v="22933.22"/>
    <n v="20.3"/>
    <n v="3245485.65"/>
    <n v="1445120.87"/>
    <n v="1800364.78"/>
    <n v="3587.79"/>
    <n v="-43866.7"/>
    <n v="1909.95"/>
    <n v="-38368.959999999999"/>
  </r>
  <r>
    <n v="322"/>
    <d v="2025-12-08T00:00:00"/>
    <x v="4"/>
    <n v="4"/>
    <s v="December"/>
    <n v="12"/>
    <x v="5"/>
    <x v="0"/>
    <s v="Product Sales"/>
    <x v="3"/>
    <n v="61748.13"/>
    <n v="49456.92"/>
    <n v="12291.21"/>
    <n v="2957.18"/>
    <n v="9334.0300000000007"/>
    <n v="15.12"/>
    <n v="3244737.01"/>
    <n v="2011117.16"/>
    <n v="1233619.8500000001"/>
    <n v="42199.040000000001"/>
    <n v="-11005.21"/>
    <n v="-39356.480000000003"/>
    <n v="-8162.65"/>
  </r>
  <r>
    <n v="518"/>
    <d v="2025-12-12T00:00:00"/>
    <x v="4"/>
    <n v="4"/>
    <s v="December"/>
    <n v="12"/>
    <x v="1"/>
    <x v="3"/>
    <s v="Service Revenue"/>
    <x v="1"/>
    <n v="93314.55"/>
    <n v="50982.33"/>
    <n v="42332.22"/>
    <n v="9420.1"/>
    <n v="32912.120000000003"/>
    <n v="35.270000000000003"/>
    <n v="3720293.23"/>
    <n v="1952322.74"/>
    <n v="1767970.49"/>
    <n v="74361.22"/>
    <n v="-1058.29"/>
    <n v="-11620.21"/>
    <n v="61682.720000000001"/>
  </r>
  <r>
    <n v="47"/>
    <d v="2025-12-12T00:00:00"/>
    <x v="4"/>
    <n v="4"/>
    <s v="December"/>
    <n v="12"/>
    <x v="2"/>
    <x v="3"/>
    <s v="Other Income"/>
    <x v="1"/>
    <n v="155029.20000000001"/>
    <n v="76913.89"/>
    <n v="78115.31"/>
    <n v="18477.64"/>
    <n v="59637.67"/>
    <n v="38.47"/>
    <n v="4414533.63"/>
    <n v="2019804.63"/>
    <n v="2394729"/>
    <n v="76939.7"/>
    <n v="-30099.73"/>
    <n v="-34523.839999999997"/>
    <n v="12316.13"/>
  </r>
  <r>
    <n v="551"/>
    <d v="2025-12-16T00:00:00"/>
    <x v="4"/>
    <n v="4"/>
    <s v="December"/>
    <n v="12"/>
    <x v="0"/>
    <x v="2"/>
    <s v="Product Sales"/>
    <x v="5"/>
    <n v="173856.85"/>
    <n v="81103.8"/>
    <n v="92753.05"/>
    <n v="9676.0499999999993"/>
    <n v="83077"/>
    <n v="47.78"/>
    <n v="563065.32999999996"/>
    <n v="268437.65999999997"/>
    <n v="294627.67"/>
    <n v="127658.35"/>
    <n v="-3405.28"/>
    <n v="42265.75"/>
    <n v="166518.82"/>
  </r>
  <r>
    <n v="461"/>
    <d v="2025-12-21T00:00:00"/>
    <x v="4"/>
    <n v="4"/>
    <s v="December"/>
    <n v="12"/>
    <x v="1"/>
    <x v="2"/>
    <s v="Other Income"/>
    <x v="5"/>
    <n v="30690.51"/>
    <n v="19201.96"/>
    <n v="11488.55"/>
    <n v="1575.94"/>
    <n v="9912.61"/>
    <n v="32.299999999999997"/>
    <n v="4642411.4800000004"/>
    <n v="1182892.07"/>
    <n v="3459519.41"/>
    <n v="24137.8"/>
    <n v="4066.36"/>
    <n v="8501.7999999999993"/>
    <n v="36705.96"/>
  </r>
  <r>
    <n v="455"/>
    <d v="2025-12-22T00:00:00"/>
    <x v="4"/>
    <n v="4"/>
    <s v="December"/>
    <n v="12"/>
    <x v="2"/>
    <x v="1"/>
    <s v="Consulting"/>
    <x v="5"/>
    <n v="156967.89000000001"/>
    <n v="75529.47"/>
    <n v="81438.42"/>
    <n v="11445.02"/>
    <n v="69993.399999999994"/>
    <n v="44.59"/>
    <n v="3561729.86"/>
    <n v="1280969.54"/>
    <n v="2280760.3199999998"/>
    <n v="106207.42"/>
    <n v="3986.78"/>
    <n v="38902.28"/>
    <n v="149096.48000000001"/>
  </r>
  <r>
    <n v="202"/>
    <d v="2025-12-25T00:00:00"/>
    <x v="4"/>
    <n v="4"/>
    <s v="December"/>
    <n v="12"/>
    <x v="0"/>
    <x v="2"/>
    <s v="Service Revenue"/>
    <x v="0"/>
    <n v="114934.34"/>
    <n v="75521.600000000006"/>
    <n v="39412.74"/>
    <n v="3858.27"/>
    <n v="35554.47"/>
    <n v="30.93"/>
    <n v="1253118.8"/>
    <n v="800504.95"/>
    <n v="452613.85"/>
    <n v="23833.41"/>
    <n v="27745.21"/>
    <n v="13191.27"/>
    <n v="64769.89"/>
  </r>
  <r>
    <n v="214"/>
    <d v="2025-12-27T00:00:00"/>
    <x v="4"/>
    <n v="4"/>
    <s v="December"/>
    <n v="12"/>
    <x v="0"/>
    <x v="2"/>
    <s v="Other Income"/>
    <x v="1"/>
    <n v="153412.74"/>
    <n v="85759.13"/>
    <n v="67653.61"/>
    <n v="5576.93"/>
    <n v="62076.68"/>
    <n v="40.46"/>
    <n v="3820412.83"/>
    <n v="2229813.9"/>
    <n v="1590598.93"/>
    <n v="91314.77"/>
    <n v="-55714.97"/>
    <n v="35342.79"/>
    <n v="70942.59"/>
  </r>
  <r>
    <n v="501"/>
    <d v="2025-12-29T00:00:00"/>
    <x v="4"/>
    <n v="4"/>
    <s v="December"/>
    <n v="12"/>
    <x v="4"/>
    <x v="1"/>
    <s v="Other Income"/>
    <x v="2"/>
    <n v="34440.36"/>
    <n v="24438.16"/>
    <n v="10002.200000000001"/>
    <n v="816.89"/>
    <n v="9185.31"/>
    <n v="26.67"/>
    <n v="2341321.64"/>
    <n v="893803.53"/>
    <n v="1447518.11"/>
    <n v="34655.51"/>
    <n v="6624.55"/>
    <n v="-9590.5400000000009"/>
    <n v="31689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75A84-4781-4A98-B1ED-FE5946B7D2DC}" name="Expense Analysis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0:J18" firstHeaderRow="1" firstDataRow="1" firstDataCol="1"/>
  <pivotFields count="23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0"/>
        <item x="1"/>
        <item x="5"/>
        <item x="4"/>
        <item x="6"/>
        <item t="default"/>
      </items>
    </pivotField>
    <pivotField numFmtId="4" showAll="0"/>
    <pivotField dataField="1" numFmtId="4" showAll="0"/>
    <pivotField numFmtId="4" showAll="0"/>
    <pivotField numFmtId="4" showAll="0"/>
    <pivotField numFmtId="4" showAll="0"/>
    <pivotField numFmtId="2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penses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B62B2-E9D6-4207-805C-E43DD34396BE}" name="Regional Performance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L6" firstHeaderRow="0" firstDataRow="1" firstDataCol="1"/>
  <pivotFields count="23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dataField="1" numFmtId="4" showAll="0"/>
    <pivotField dataField="1" numFmtId="4" showAll="0"/>
    <pivotField numFmtId="4" showAll="0"/>
    <pivotField numFmtId="4" showAll="0"/>
    <pivotField dataField="1" numFmtId="4" showAll="0"/>
    <pivotField numFmtId="2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 numFmtId="4"/>
    <dataField name="Sum of Expenses" fld="11" baseField="0" baseItem="0" numFmtId="4"/>
    <dataField name="Sum of Net_Profit" fld="1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8C99C-A88C-4F39-BD1A-CC1B40A28C21}" name="Dept Performance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G17" firstHeaderRow="0" firstDataRow="1" firstDataCol="1"/>
  <pivotFields count="23">
    <pivotField showAll="0"/>
    <pivotField numFmtId="164" showAll="0"/>
    <pivotField showAll="0"/>
    <pivotField showAll="0"/>
    <pivotField showAll="0"/>
    <pivotField showAll="0"/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showAll="0"/>
    <pivotField dataField="1" numFmtId="4" showAll="0"/>
    <pivotField dataField="1" numFmtId="4" showAll="0"/>
    <pivotField numFmtId="4" showAll="0"/>
    <pivotField numFmtId="4" showAll="0"/>
    <pivotField dataField="1" numFmtId="4" showAll="0"/>
    <pivotField numFmtId="2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 numFmtId="4"/>
    <dataField name="Sum of Expenses" fld="11" baseField="0" baseItem="0" numFmtId="4"/>
    <dataField name="Sum of Net_Profit" fld="1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318E5-FF50-48A2-AB99-988C11F7B028}" name="Yearly performance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G7" firstHeaderRow="0" firstDataRow="1" firstDataCol="1"/>
  <pivotFields count="23">
    <pivotField showAll="0"/>
    <pivotField numFmtId="16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dataField="1" numFmtId="4" showAll="0"/>
    <pivotField numFmtId="4" showAll="0"/>
    <pivotField numFmtId="4" showAll="0"/>
    <pivotField dataField="1" numFmtId="4" showAll="0"/>
    <pivotField numFmtId="2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 numFmtId="4"/>
    <dataField name="Sum of Expenses" fld="11" baseField="0" baseItem="0" numFmtId="4"/>
    <dataField name="Sum of Net_Profit" fld="1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61F7CC-5F01-40C2-997E-70B26B412D9D}" name="FinancialData" displayName="FinancialData" ref="A1:W601" totalsRowShown="0" headerRowDxfId="12" dataDxfId="13" headerRowBorderDxfId="28" tableBorderDxfId="29">
  <autoFilter ref="A1:W601" xr:uid="{00000000-0009-0000-0000-000000000000}"/>
  <tableColumns count="23">
    <tableColumn id="1" xr3:uid="{67027319-D425-4913-A60E-340C226904F9}" name="Transaction_ID"/>
    <tableColumn id="2" xr3:uid="{613B511F-9B1D-4B73-8CA1-97EF6BFAD333}" name="Date" dataDxfId="27"/>
    <tableColumn id="3" xr3:uid="{327B7363-06AF-4B99-BC71-AD7664D1689A}" name="Year"/>
    <tableColumn id="4" xr3:uid="{14BFC417-CC69-4620-989F-4D9C78F33F21}" name="Quarter"/>
    <tableColumn id="5" xr3:uid="{22053E6F-64D3-4EE9-932B-6B22407A7617}" name="Month"/>
    <tableColumn id="6" xr3:uid="{64D0C0F9-3A85-4242-B581-7B1E1718D70B}" name="Month_Number"/>
    <tableColumn id="7" xr3:uid="{2FC2EA35-749F-4E7D-8AC5-E94B5691FE1F}" name="Department"/>
    <tableColumn id="8" xr3:uid="{3114E439-FDE7-4A78-8D83-A54B7F7B0507}" name="Region"/>
    <tableColumn id="9" xr3:uid="{6EC3935A-5AC8-4AE4-B6E3-AD5ACEB433D2}" name="Income_Category"/>
    <tableColumn id="10" xr3:uid="{4722908B-01D3-44A5-BEB3-BEBC9B636824}" name="Expense_Category"/>
    <tableColumn id="11" xr3:uid="{7D8F63F8-2728-4F2E-A9D5-15D80E4FCFAB}" name="Revenue" dataDxfId="26"/>
    <tableColumn id="12" xr3:uid="{B2B59C8B-D6FE-44BE-A6BA-F69CB726D1B8}" name="Expenses" dataDxfId="25"/>
    <tableColumn id="13" xr3:uid="{F5C0A7C5-A474-4DC3-8AD0-5B716B5A52D6}" name="Gross_Profit" dataDxfId="24"/>
    <tableColumn id="14" xr3:uid="{04C36BA9-531A-4A5B-843E-9DB68962C1AA}" name="Tax" dataDxfId="23"/>
    <tableColumn id="15" xr3:uid="{74B8498F-889A-465C-B65D-14367D151B9E}" name="Net_Profit" dataDxfId="22"/>
    <tableColumn id="16" xr3:uid="{D42BA1A7-3FB2-44CE-87E8-97A6A445E952}" name="Profit_Margin_Percent" dataDxfId="21"/>
    <tableColumn id="17" xr3:uid="{19B1123A-A367-4097-8F08-DC63AE8ED02A}" name="Total_Assets" dataDxfId="20"/>
    <tableColumn id="18" xr3:uid="{0E189D9C-2D31-48BC-9906-CB96B8067149}" name="Total_Liabilities" dataDxfId="19"/>
    <tableColumn id="19" xr3:uid="{E2948FD9-5DC0-46DC-B718-D3E3AD332789}" name="Total_Equity" dataDxfId="18"/>
    <tableColumn id="20" xr3:uid="{D60A8D82-09E5-4846-B337-DCB56ABBE648}" name="Operating_Cash_Flow" dataDxfId="17"/>
    <tableColumn id="21" xr3:uid="{52603B78-7FC3-456C-80E9-483758BEB822}" name="Investing_Cash_Flow" dataDxfId="16"/>
    <tableColumn id="22" xr3:uid="{1B69459E-13DA-4FC2-B946-E53E2D39E947}" name="Financing_Cash_Flow" dataDxfId="15"/>
    <tableColumn id="23" xr3:uid="{793F91CA-72EC-4A5B-8379-3016BFF70983}" name="Net_Cash_Flow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5A79B0-B808-4C12-A94C-6C00E735FF47}" name="MonthlySummary" displayName="MonthlySummary" ref="A1:M61" totalsRowShown="0" headerRowDxfId="0" headerRowBorderDxfId="10" tableBorderDxfId="11">
  <autoFilter ref="A1:M61" xr:uid="{00000000-0009-0000-0000-000001000000}"/>
  <tableColumns count="13">
    <tableColumn id="1" xr3:uid="{40766EC0-B97D-438F-83BC-ECBCCE3165B6}" name="Date" dataDxfId="9"/>
    <tableColumn id="2" xr3:uid="{01537B85-C68E-41F9-A13A-92E6179BA02A}" name="Total_Revenue" dataDxfId="8"/>
    <tableColumn id="3" xr3:uid="{57B7CACC-7953-493B-BFA4-13ACC34BCC1C}" name="Total_Expenses" dataDxfId="7"/>
    <tableColumn id="4" xr3:uid="{17235657-E955-4E00-9676-5C0EC07FBFAD}" name="Net_Profit" dataDxfId="6"/>
    <tableColumn id="5" xr3:uid="{173EFA78-4058-4236-B1B5-7700DFF54C80}" name="Operating_Cash_Flow" dataDxfId="5"/>
    <tableColumn id="6" xr3:uid="{FDEEB657-B6BA-43A2-B5A9-7512A4861EF8}" name="Investing_Cash_Flow" dataDxfId="4"/>
    <tableColumn id="7" xr3:uid="{9FA32A95-FB49-42F5-B064-6A24D4B2183C}" name="Financing_Cash_Flow" dataDxfId="3"/>
    <tableColumn id="8" xr3:uid="{35453931-7B50-4C44-A52A-E38AE4B02757}" name="Net_Cash_Flow" dataDxfId="2"/>
    <tableColumn id="9" xr3:uid="{C075E078-91EC-4E05-A668-7E7BF82D37D9}" name="Profit_Margin_Percent" dataDxfId="1"/>
    <tableColumn id="10" xr3:uid="{F5012080-6AAE-4666-B289-35B48FFF7704}" name="Year"/>
    <tableColumn id="11" xr3:uid="{FB39572C-1FAA-468A-AC9F-2096968860EF}" name="Quarter"/>
    <tableColumn id="12" xr3:uid="{16A3A7A6-C2D4-4B1A-AF1A-6274B8E391FD}" name="Month"/>
    <tableColumn id="13" xr3:uid="{12236242-C241-42B7-A135-0AA5EC6DFF13}" name="Month_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1"/>
  <sheetViews>
    <sheetView topLeftCell="C1" workbookViewId="0">
      <pane ySplit="1" topLeftCell="A2" activePane="bottomLeft" state="frozen"/>
      <selection pane="bottomLeft" sqref="A1:XFD1048576"/>
    </sheetView>
  </sheetViews>
  <sheetFormatPr defaultColWidth="14.42578125" defaultRowHeight="15" customHeight="1"/>
  <cols>
    <col min="1" max="1" width="16.140625" customWidth="1"/>
    <col min="2" max="2" width="21" customWidth="1"/>
    <col min="3" max="4" width="10" customWidth="1"/>
    <col min="5" max="5" width="11" customWidth="1"/>
    <col min="6" max="6" width="17.42578125" customWidth="1"/>
    <col min="7" max="7" width="13.85546875" customWidth="1"/>
    <col min="8" max="8" width="10" customWidth="1"/>
    <col min="9" max="9" width="18.5703125" customWidth="1"/>
    <col min="10" max="10" width="19.42578125" customWidth="1"/>
    <col min="11" max="11" width="11" customWidth="1"/>
    <col min="12" max="12" width="11.42578125" customWidth="1"/>
    <col min="13" max="13" width="14.140625" customWidth="1"/>
    <col min="14" max="14" width="10" customWidth="1"/>
    <col min="15" max="15" width="12.42578125" customWidth="1"/>
    <col min="16" max="16" width="23.28515625" customWidth="1"/>
    <col min="17" max="17" width="14.28515625" customWidth="1"/>
    <col min="18" max="18" width="19" customWidth="1"/>
    <col min="19" max="19" width="14.140625" customWidth="1"/>
    <col min="20" max="20" width="22.42578125" customWidth="1"/>
    <col min="21" max="21" width="21.7109375" customWidth="1"/>
    <col min="22" max="22" width="22" customWidth="1"/>
    <col min="23" max="23" width="16.85546875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>
        <v>336</v>
      </c>
      <c r="B2" s="1">
        <v>44198</v>
      </c>
      <c r="C2" t="s">
        <v>23</v>
      </c>
      <c r="D2">
        <v>1</v>
      </c>
      <c r="E2" t="s">
        <v>24</v>
      </c>
      <c r="F2">
        <v>1</v>
      </c>
      <c r="G2" t="s">
        <v>25</v>
      </c>
      <c r="H2" t="s">
        <v>26</v>
      </c>
      <c r="I2" t="s">
        <v>27</v>
      </c>
      <c r="J2" t="s">
        <v>28</v>
      </c>
      <c r="K2" s="2">
        <v>26675.72</v>
      </c>
      <c r="L2" s="2">
        <v>20162.150000000001</v>
      </c>
      <c r="M2" s="2">
        <v>6513.57</v>
      </c>
      <c r="N2" s="2">
        <v>1408.02</v>
      </c>
      <c r="O2" s="2">
        <v>5105.55</v>
      </c>
      <c r="P2" s="3">
        <v>19.14</v>
      </c>
      <c r="Q2" s="2">
        <v>970045.33</v>
      </c>
      <c r="R2" s="2">
        <v>466342.46</v>
      </c>
      <c r="S2" s="2">
        <v>503702.87</v>
      </c>
      <c r="T2" s="2">
        <v>12224.09</v>
      </c>
      <c r="U2" s="2">
        <v>-58129.09</v>
      </c>
      <c r="V2" s="2">
        <v>58056.82</v>
      </c>
      <c r="W2" s="2">
        <v>12151.82</v>
      </c>
    </row>
    <row r="3" spans="1:23">
      <c r="A3">
        <v>263</v>
      </c>
      <c r="B3" s="1">
        <v>44198</v>
      </c>
      <c r="C3" t="s">
        <v>23</v>
      </c>
      <c r="D3">
        <v>1</v>
      </c>
      <c r="E3" t="s">
        <v>24</v>
      </c>
      <c r="F3">
        <v>1</v>
      </c>
      <c r="G3" t="s">
        <v>29</v>
      </c>
      <c r="H3" t="s">
        <v>30</v>
      </c>
      <c r="I3" t="s">
        <v>31</v>
      </c>
      <c r="J3" t="s">
        <v>32</v>
      </c>
      <c r="K3" s="2">
        <v>177217.68</v>
      </c>
      <c r="L3" s="2">
        <v>131211.76999999999</v>
      </c>
      <c r="M3" s="2">
        <v>46005.91</v>
      </c>
      <c r="N3" s="2">
        <v>9417.08</v>
      </c>
      <c r="O3" s="2">
        <v>36588.83</v>
      </c>
      <c r="P3" s="3">
        <v>20.65</v>
      </c>
      <c r="Q3" s="2">
        <v>1022859.3</v>
      </c>
      <c r="R3" s="2">
        <v>575254.39</v>
      </c>
      <c r="S3" s="2">
        <v>447604.91</v>
      </c>
      <c r="T3" s="2">
        <v>69410.33</v>
      </c>
      <c r="U3" s="2">
        <v>-9889.73</v>
      </c>
      <c r="V3" s="2">
        <v>59036.18</v>
      </c>
      <c r="W3" s="2">
        <v>118556.78</v>
      </c>
    </row>
    <row r="4" spans="1:23">
      <c r="A4">
        <v>529</v>
      </c>
      <c r="B4" s="1">
        <v>44201</v>
      </c>
      <c r="C4" t="s">
        <v>23</v>
      </c>
      <c r="D4">
        <v>1</v>
      </c>
      <c r="E4" t="s">
        <v>24</v>
      </c>
      <c r="F4">
        <v>1</v>
      </c>
      <c r="G4" t="s">
        <v>33</v>
      </c>
      <c r="H4" t="s">
        <v>34</v>
      </c>
      <c r="I4" t="s">
        <v>35</v>
      </c>
      <c r="J4" t="s">
        <v>29</v>
      </c>
      <c r="K4" s="2">
        <v>92853.58</v>
      </c>
      <c r="L4" s="2">
        <v>52447.16</v>
      </c>
      <c r="M4" s="2">
        <v>40406.42</v>
      </c>
      <c r="N4" s="2">
        <v>8467.65</v>
      </c>
      <c r="O4" s="2">
        <v>31938.77</v>
      </c>
      <c r="P4" s="3">
        <v>34.4</v>
      </c>
      <c r="Q4" s="2">
        <v>4712794.54</v>
      </c>
      <c r="R4" s="2">
        <v>2951624.84</v>
      </c>
      <c r="S4" s="2">
        <v>1761169.7</v>
      </c>
      <c r="T4" s="2">
        <v>15921.27</v>
      </c>
      <c r="U4" s="2">
        <v>17474.36</v>
      </c>
      <c r="V4" s="2">
        <v>33743.14</v>
      </c>
      <c r="W4" s="2">
        <v>67138.77</v>
      </c>
    </row>
    <row r="5" spans="1:23">
      <c r="A5">
        <v>345</v>
      </c>
      <c r="B5" s="1">
        <v>44205</v>
      </c>
      <c r="C5" t="s">
        <v>23</v>
      </c>
      <c r="D5">
        <v>1</v>
      </c>
      <c r="E5" t="s">
        <v>24</v>
      </c>
      <c r="F5">
        <v>1</v>
      </c>
      <c r="G5" t="s">
        <v>25</v>
      </c>
      <c r="H5" t="s">
        <v>36</v>
      </c>
      <c r="I5" t="s">
        <v>35</v>
      </c>
      <c r="J5" t="s">
        <v>37</v>
      </c>
      <c r="K5" s="2">
        <v>49223.97</v>
      </c>
      <c r="L5" s="2">
        <v>26159.23</v>
      </c>
      <c r="M5" s="2">
        <v>23064.74</v>
      </c>
      <c r="N5" s="2">
        <v>3877.34</v>
      </c>
      <c r="O5" s="2">
        <v>19187.400000000001</v>
      </c>
      <c r="P5" s="3">
        <v>38.979999999999997</v>
      </c>
      <c r="Q5" s="2">
        <v>3695516.45</v>
      </c>
      <c r="R5" s="2">
        <v>1065386.43</v>
      </c>
      <c r="S5" s="2">
        <v>2630130.02</v>
      </c>
      <c r="T5" s="2">
        <v>14602.98</v>
      </c>
      <c r="U5" s="2">
        <v>26867.46</v>
      </c>
      <c r="V5" s="2">
        <v>-13765.7</v>
      </c>
      <c r="W5" s="2">
        <v>27704.74</v>
      </c>
    </row>
    <row r="6" spans="1:23">
      <c r="A6">
        <v>67</v>
      </c>
      <c r="B6" s="1">
        <v>44210</v>
      </c>
      <c r="C6" t="s">
        <v>23</v>
      </c>
      <c r="D6">
        <v>1</v>
      </c>
      <c r="E6" t="s">
        <v>24</v>
      </c>
      <c r="F6">
        <v>1</v>
      </c>
      <c r="G6" t="s">
        <v>25</v>
      </c>
      <c r="H6" t="s">
        <v>36</v>
      </c>
      <c r="I6" t="s">
        <v>38</v>
      </c>
      <c r="J6" t="s">
        <v>39</v>
      </c>
      <c r="K6" s="2">
        <v>52989.18</v>
      </c>
      <c r="L6" s="2">
        <v>34980.26</v>
      </c>
      <c r="M6" s="2">
        <v>18008.919999999998</v>
      </c>
      <c r="N6" s="2">
        <v>4243.5</v>
      </c>
      <c r="O6" s="2">
        <v>13765.42</v>
      </c>
      <c r="P6" s="3">
        <v>25.98</v>
      </c>
      <c r="Q6" s="2">
        <v>652756.9</v>
      </c>
      <c r="R6" s="2">
        <v>345287.58</v>
      </c>
      <c r="S6" s="2">
        <v>307469.32</v>
      </c>
      <c r="T6" s="2">
        <v>7553.34</v>
      </c>
      <c r="U6" s="2">
        <v>22439.62</v>
      </c>
      <c r="V6" s="2">
        <v>57105.82</v>
      </c>
      <c r="W6" s="2">
        <v>87098.78</v>
      </c>
    </row>
    <row r="7" spans="1:23">
      <c r="A7">
        <v>124</v>
      </c>
      <c r="B7" s="1">
        <v>44211</v>
      </c>
      <c r="C7" t="s">
        <v>23</v>
      </c>
      <c r="D7">
        <v>1</v>
      </c>
      <c r="E7" t="s">
        <v>24</v>
      </c>
      <c r="F7">
        <v>1</v>
      </c>
      <c r="G7" t="s">
        <v>40</v>
      </c>
      <c r="H7" t="s">
        <v>34</v>
      </c>
      <c r="I7" t="s">
        <v>31</v>
      </c>
      <c r="J7" t="s">
        <v>28</v>
      </c>
      <c r="K7" s="2">
        <v>60131.74</v>
      </c>
      <c r="L7" s="2">
        <v>34957.5</v>
      </c>
      <c r="M7" s="2">
        <v>25174.240000000002</v>
      </c>
      <c r="N7" s="2">
        <v>2311.0500000000002</v>
      </c>
      <c r="O7" s="2">
        <v>22863.19</v>
      </c>
      <c r="P7" s="3">
        <v>38.020000000000003</v>
      </c>
      <c r="Q7" s="2">
        <v>2835769.06</v>
      </c>
      <c r="R7" s="2">
        <v>785635.71</v>
      </c>
      <c r="S7" s="2">
        <v>2050133.35</v>
      </c>
      <c r="T7" s="2">
        <v>56891.71</v>
      </c>
      <c r="U7" s="2">
        <v>-46628.79</v>
      </c>
      <c r="V7" s="2">
        <v>14001.19</v>
      </c>
      <c r="W7" s="2">
        <v>24264.11</v>
      </c>
    </row>
    <row r="8" spans="1:23">
      <c r="A8">
        <v>425</v>
      </c>
      <c r="B8" s="1">
        <v>44213</v>
      </c>
      <c r="C8" t="s">
        <v>23</v>
      </c>
      <c r="D8">
        <v>1</v>
      </c>
      <c r="E8" t="s">
        <v>24</v>
      </c>
      <c r="F8">
        <v>1</v>
      </c>
      <c r="G8" t="s">
        <v>37</v>
      </c>
      <c r="H8" t="s">
        <v>26</v>
      </c>
      <c r="I8" t="s">
        <v>35</v>
      </c>
      <c r="J8" t="s">
        <v>29</v>
      </c>
      <c r="K8" s="2">
        <v>177324.63</v>
      </c>
      <c r="L8" s="2">
        <v>96196.83</v>
      </c>
      <c r="M8" s="2">
        <v>81127.8</v>
      </c>
      <c r="N8" s="2">
        <v>7502.04</v>
      </c>
      <c r="O8" s="2">
        <v>73625.759999999995</v>
      </c>
      <c r="P8" s="3">
        <v>41.52</v>
      </c>
      <c r="Q8" s="2">
        <v>3484158.12</v>
      </c>
      <c r="R8" s="2">
        <v>1700779.76</v>
      </c>
      <c r="S8" s="2">
        <v>1783378.36</v>
      </c>
      <c r="T8" s="2">
        <v>76837.41</v>
      </c>
      <c r="U8" s="2">
        <v>-27780.78</v>
      </c>
      <c r="V8" s="2">
        <v>38506.39</v>
      </c>
      <c r="W8" s="2">
        <v>87563.02</v>
      </c>
    </row>
    <row r="9" spans="1:23">
      <c r="A9">
        <v>454</v>
      </c>
      <c r="B9" s="1">
        <v>44214</v>
      </c>
      <c r="C9" t="s">
        <v>23</v>
      </c>
      <c r="D9">
        <v>1</v>
      </c>
      <c r="E9" t="s">
        <v>24</v>
      </c>
      <c r="F9">
        <v>1</v>
      </c>
      <c r="G9" t="s">
        <v>37</v>
      </c>
      <c r="H9" t="s">
        <v>36</v>
      </c>
      <c r="I9" t="s">
        <v>35</v>
      </c>
      <c r="J9" t="s">
        <v>28</v>
      </c>
      <c r="K9" s="2">
        <v>104929.87</v>
      </c>
      <c r="L9" s="2">
        <v>66523.850000000006</v>
      </c>
      <c r="M9" s="2">
        <v>38406.019999999997</v>
      </c>
      <c r="N9" s="2">
        <v>4237.3599999999997</v>
      </c>
      <c r="O9" s="2">
        <v>34168.660000000003</v>
      </c>
      <c r="P9" s="3">
        <v>32.56</v>
      </c>
      <c r="Q9" s="2">
        <v>986697.57</v>
      </c>
      <c r="R9" s="2">
        <v>579036.31000000006</v>
      </c>
      <c r="S9" s="2">
        <v>407661.26</v>
      </c>
      <c r="T9" s="2">
        <v>53299.31</v>
      </c>
      <c r="U9" s="2">
        <v>-37417.54</v>
      </c>
      <c r="V9" s="2">
        <v>-20826.38</v>
      </c>
      <c r="W9" s="2">
        <v>-4944.6099999999997</v>
      </c>
    </row>
    <row r="10" spans="1:23">
      <c r="A10">
        <v>489</v>
      </c>
      <c r="B10" s="1">
        <v>44216</v>
      </c>
      <c r="C10" t="s">
        <v>23</v>
      </c>
      <c r="D10">
        <v>1</v>
      </c>
      <c r="E10" t="s">
        <v>24</v>
      </c>
      <c r="F10">
        <v>1</v>
      </c>
      <c r="G10" t="s">
        <v>40</v>
      </c>
      <c r="H10" t="s">
        <v>34</v>
      </c>
      <c r="I10" t="s">
        <v>35</v>
      </c>
      <c r="J10" t="s">
        <v>41</v>
      </c>
      <c r="K10" s="2">
        <v>58037.03</v>
      </c>
      <c r="L10" s="2">
        <v>44738.17</v>
      </c>
      <c r="M10" s="2">
        <v>13298.86</v>
      </c>
      <c r="N10" s="2">
        <v>3224.88</v>
      </c>
      <c r="O10" s="2">
        <v>10073.98</v>
      </c>
      <c r="P10" s="3">
        <v>17.36</v>
      </c>
      <c r="Q10" s="2">
        <v>1565218.88</v>
      </c>
      <c r="R10" s="2">
        <v>943899.27</v>
      </c>
      <c r="S10" s="2">
        <v>621319.61</v>
      </c>
      <c r="T10" s="2">
        <v>-12167.72</v>
      </c>
      <c r="U10" s="2">
        <v>-64429.32</v>
      </c>
      <c r="V10" s="2">
        <v>-27077.62</v>
      </c>
      <c r="W10" s="2">
        <v>-103674.66</v>
      </c>
    </row>
    <row r="11" spans="1:23">
      <c r="A11">
        <v>60</v>
      </c>
      <c r="B11" s="1">
        <v>44217</v>
      </c>
      <c r="C11" t="s">
        <v>23</v>
      </c>
      <c r="D11">
        <v>1</v>
      </c>
      <c r="E11" t="s">
        <v>24</v>
      </c>
      <c r="F11">
        <v>1</v>
      </c>
      <c r="G11" t="s">
        <v>29</v>
      </c>
      <c r="H11" t="s">
        <v>26</v>
      </c>
      <c r="I11" t="s">
        <v>27</v>
      </c>
      <c r="J11" t="s">
        <v>29</v>
      </c>
      <c r="K11" s="2">
        <v>41519.699999999997</v>
      </c>
      <c r="L11" s="2">
        <v>20834.87</v>
      </c>
      <c r="M11" s="2">
        <v>20684.830000000002</v>
      </c>
      <c r="N11" s="2">
        <v>2582.0100000000002</v>
      </c>
      <c r="O11" s="2">
        <v>18102.82</v>
      </c>
      <c r="P11" s="3">
        <v>43.6</v>
      </c>
      <c r="Q11" s="2">
        <v>1699242.77</v>
      </c>
      <c r="R11" s="2">
        <v>922474.43</v>
      </c>
      <c r="S11" s="2">
        <v>776768.34</v>
      </c>
      <c r="T11" s="2">
        <v>8161.27</v>
      </c>
      <c r="U11" s="2">
        <v>-6690.19</v>
      </c>
      <c r="V11" s="2">
        <v>9427.39</v>
      </c>
      <c r="W11" s="2">
        <v>10898.47</v>
      </c>
    </row>
    <row r="12" spans="1:23">
      <c r="A12">
        <v>35</v>
      </c>
      <c r="B12" s="1">
        <v>44218</v>
      </c>
      <c r="C12" t="s">
        <v>23</v>
      </c>
      <c r="D12">
        <v>1</v>
      </c>
      <c r="E12" t="s">
        <v>24</v>
      </c>
      <c r="F12">
        <v>1</v>
      </c>
      <c r="G12" t="s">
        <v>29</v>
      </c>
      <c r="H12" t="s">
        <v>36</v>
      </c>
      <c r="I12" t="s">
        <v>35</v>
      </c>
      <c r="J12" t="s">
        <v>39</v>
      </c>
      <c r="K12" s="2">
        <v>68396.759999999995</v>
      </c>
      <c r="L12" s="2">
        <v>50251.95</v>
      </c>
      <c r="M12" s="2">
        <v>18144.810000000001</v>
      </c>
      <c r="N12" s="2">
        <v>2028.54</v>
      </c>
      <c r="O12" s="2">
        <v>16116.27</v>
      </c>
      <c r="P12" s="3">
        <v>23.56</v>
      </c>
      <c r="Q12" s="2">
        <v>1956556.56</v>
      </c>
      <c r="R12" s="2">
        <v>822095.32</v>
      </c>
      <c r="S12" s="2">
        <v>1134461.24</v>
      </c>
      <c r="T12" s="2">
        <v>26725.1</v>
      </c>
      <c r="U12" s="2">
        <v>-45759.03</v>
      </c>
      <c r="V12" s="2">
        <v>-28516.32</v>
      </c>
      <c r="W12" s="2">
        <v>-47550.25</v>
      </c>
    </row>
    <row r="13" spans="1:23">
      <c r="A13">
        <v>407</v>
      </c>
      <c r="B13" s="1">
        <v>44223</v>
      </c>
      <c r="C13" t="s">
        <v>23</v>
      </c>
      <c r="D13">
        <v>1</v>
      </c>
      <c r="E13" t="s">
        <v>24</v>
      </c>
      <c r="F13">
        <v>1</v>
      </c>
      <c r="G13" t="s">
        <v>37</v>
      </c>
      <c r="H13" t="s">
        <v>36</v>
      </c>
      <c r="I13" t="s">
        <v>27</v>
      </c>
      <c r="J13" t="s">
        <v>29</v>
      </c>
      <c r="K13" s="2">
        <v>121980.7</v>
      </c>
      <c r="L13" s="2">
        <v>79738.38</v>
      </c>
      <c r="M13" s="2">
        <v>42242.32</v>
      </c>
      <c r="N13" s="2">
        <v>6304.76</v>
      </c>
      <c r="O13" s="2">
        <v>35937.56</v>
      </c>
      <c r="P13" s="3">
        <v>29.46</v>
      </c>
      <c r="Q13" s="2">
        <v>2846196.6</v>
      </c>
      <c r="R13" s="2">
        <v>1732280.25</v>
      </c>
      <c r="S13" s="2">
        <v>1113916.3500000001</v>
      </c>
      <c r="T13" s="2">
        <v>21641.1</v>
      </c>
      <c r="U13" s="2">
        <v>-67743.55</v>
      </c>
      <c r="V13" s="2">
        <v>46166.49</v>
      </c>
      <c r="W13" s="2">
        <v>64.040000000000006</v>
      </c>
    </row>
    <row r="14" spans="1:23">
      <c r="A14">
        <v>81</v>
      </c>
      <c r="B14" s="1">
        <v>44231</v>
      </c>
      <c r="C14" t="s">
        <v>23</v>
      </c>
      <c r="D14">
        <v>1</v>
      </c>
      <c r="E14" t="s">
        <v>42</v>
      </c>
      <c r="F14">
        <v>2</v>
      </c>
      <c r="G14" t="s">
        <v>25</v>
      </c>
      <c r="H14" t="s">
        <v>26</v>
      </c>
      <c r="I14" t="s">
        <v>35</v>
      </c>
      <c r="J14" t="s">
        <v>37</v>
      </c>
      <c r="K14" s="2">
        <v>97147.85</v>
      </c>
      <c r="L14" s="2">
        <v>75314.5</v>
      </c>
      <c r="M14" s="2">
        <v>21833.35</v>
      </c>
      <c r="N14" s="2">
        <v>1765.77</v>
      </c>
      <c r="O14" s="2">
        <v>20067.580000000002</v>
      </c>
      <c r="P14" s="3">
        <v>20.66</v>
      </c>
      <c r="Q14" s="2">
        <v>4189761.13</v>
      </c>
      <c r="R14" s="2">
        <v>1430594.21</v>
      </c>
      <c r="S14" s="2">
        <v>2759166.92</v>
      </c>
      <c r="T14" s="2">
        <v>62763.68</v>
      </c>
      <c r="U14" s="2">
        <v>-69887.990000000005</v>
      </c>
      <c r="V14" s="2">
        <v>15618.17</v>
      </c>
      <c r="W14" s="2">
        <v>8493.86</v>
      </c>
    </row>
    <row r="15" spans="1:23">
      <c r="A15">
        <v>487</v>
      </c>
      <c r="B15" s="1">
        <v>44232</v>
      </c>
      <c r="C15" t="s">
        <v>23</v>
      </c>
      <c r="D15">
        <v>1</v>
      </c>
      <c r="E15" t="s">
        <v>42</v>
      </c>
      <c r="F15">
        <v>2</v>
      </c>
      <c r="G15" t="s">
        <v>33</v>
      </c>
      <c r="H15" t="s">
        <v>26</v>
      </c>
      <c r="I15" t="s">
        <v>27</v>
      </c>
      <c r="J15" t="s">
        <v>29</v>
      </c>
      <c r="K15" s="2">
        <v>36521.86</v>
      </c>
      <c r="L15" s="2">
        <v>17993.740000000002</v>
      </c>
      <c r="M15" s="2">
        <v>18528.12</v>
      </c>
      <c r="N15" s="2">
        <v>4221.55</v>
      </c>
      <c r="O15" s="2">
        <v>14306.57</v>
      </c>
      <c r="P15" s="3">
        <v>39.17</v>
      </c>
      <c r="Q15" s="2">
        <v>2625018.92</v>
      </c>
      <c r="R15" s="2">
        <v>1404786.61</v>
      </c>
      <c r="S15" s="2">
        <v>1220232.31</v>
      </c>
      <c r="T15" s="2">
        <v>15739.32</v>
      </c>
      <c r="U15" s="2">
        <v>-44128.91</v>
      </c>
      <c r="V15" s="2">
        <v>-5280.78</v>
      </c>
      <c r="W15" s="2">
        <v>-33670.370000000003</v>
      </c>
    </row>
    <row r="16" spans="1:23">
      <c r="A16">
        <v>400</v>
      </c>
      <c r="B16" s="1">
        <v>44234</v>
      </c>
      <c r="C16" t="s">
        <v>23</v>
      </c>
      <c r="D16">
        <v>1</v>
      </c>
      <c r="E16" t="s">
        <v>42</v>
      </c>
      <c r="F16">
        <v>2</v>
      </c>
      <c r="G16" t="s">
        <v>43</v>
      </c>
      <c r="H16" t="s">
        <v>34</v>
      </c>
      <c r="I16" t="s">
        <v>35</v>
      </c>
      <c r="J16" t="s">
        <v>28</v>
      </c>
      <c r="K16" s="2">
        <v>138187.72</v>
      </c>
      <c r="L16" s="2">
        <v>87231.29</v>
      </c>
      <c r="M16" s="2">
        <v>50956.43</v>
      </c>
      <c r="N16" s="2">
        <v>9540.16</v>
      </c>
      <c r="O16" s="2">
        <v>41416.269999999997</v>
      </c>
      <c r="P16" s="3">
        <v>29.97</v>
      </c>
      <c r="Q16" s="2">
        <v>3828573.04</v>
      </c>
      <c r="R16" s="2">
        <v>1894800.26</v>
      </c>
      <c r="S16" s="2">
        <v>1933772.78</v>
      </c>
      <c r="T16" s="2">
        <v>12750.34</v>
      </c>
      <c r="U16" s="2">
        <v>-50522.65</v>
      </c>
      <c r="V16" s="2">
        <v>41046.82</v>
      </c>
      <c r="W16" s="2">
        <v>3274.51</v>
      </c>
    </row>
    <row r="17" spans="1:23">
      <c r="A17">
        <v>144</v>
      </c>
      <c r="B17" s="1">
        <v>44237</v>
      </c>
      <c r="C17" t="s">
        <v>23</v>
      </c>
      <c r="D17">
        <v>1</v>
      </c>
      <c r="E17" t="s">
        <v>42</v>
      </c>
      <c r="F17">
        <v>2</v>
      </c>
      <c r="G17" t="s">
        <v>43</v>
      </c>
      <c r="H17" t="s">
        <v>26</v>
      </c>
      <c r="I17" t="s">
        <v>38</v>
      </c>
      <c r="J17" t="s">
        <v>32</v>
      </c>
      <c r="K17" s="2">
        <v>171058.89</v>
      </c>
      <c r="L17" s="2">
        <v>126587.31</v>
      </c>
      <c r="M17" s="2">
        <v>44471.58</v>
      </c>
      <c r="N17" s="2">
        <v>6240.39</v>
      </c>
      <c r="O17" s="2">
        <v>38231.19</v>
      </c>
      <c r="P17" s="3">
        <v>22.35</v>
      </c>
      <c r="Q17" s="2">
        <v>2354589.19</v>
      </c>
      <c r="R17" s="2">
        <v>1106295.3</v>
      </c>
      <c r="S17" s="2">
        <v>1248293.8899999999</v>
      </c>
      <c r="T17" s="2">
        <v>74673.95</v>
      </c>
      <c r="U17" s="2">
        <v>-63128.72</v>
      </c>
      <c r="V17" s="2">
        <v>2429.69</v>
      </c>
      <c r="W17" s="2">
        <v>13974.92</v>
      </c>
    </row>
    <row r="18" spans="1:23">
      <c r="A18">
        <v>537</v>
      </c>
      <c r="B18" s="1">
        <v>44243</v>
      </c>
      <c r="C18" t="s">
        <v>23</v>
      </c>
      <c r="D18">
        <v>1</v>
      </c>
      <c r="E18" t="s">
        <v>42</v>
      </c>
      <c r="F18">
        <v>2</v>
      </c>
      <c r="G18" t="s">
        <v>43</v>
      </c>
      <c r="H18" t="s">
        <v>36</v>
      </c>
      <c r="I18" t="s">
        <v>35</v>
      </c>
      <c r="J18" t="s">
        <v>29</v>
      </c>
      <c r="K18" s="2">
        <v>89694.36</v>
      </c>
      <c r="L18" s="2">
        <v>45151.73</v>
      </c>
      <c r="M18" s="2">
        <v>44542.63</v>
      </c>
      <c r="N18" s="2">
        <v>4271.87</v>
      </c>
      <c r="O18" s="2">
        <v>40270.76</v>
      </c>
      <c r="P18" s="3">
        <v>44.9</v>
      </c>
      <c r="Q18" s="2">
        <v>575021.98</v>
      </c>
      <c r="R18" s="2">
        <v>344676.06</v>
      </c>
      <c r="S18" s="2">
        <v>230345.92</v>
      </c>
      <c r="T18" s="2">
        <v>29188.75</v>
      </c>
      <c r="U18" s="2">
        <v>-48849.33</v>
      </c>
      <c r="V18" s="2">
        <v>33603.54</v>
      </c>
      <c r="W18" s="2">
        <v>13942.96</v>
      </c>
    </row>
    <row r="19" spans="1:23">
      <c r="A19">
        <v>504</v>
      </c>
      <c r="B19" s="1">
        <v>44247</v>
      </c>
      <c r="C19" t="s">
        <v>23</v>
      </c>
      <c r="D19">
        <v>1</v>
      </c>
      <c r="E19" t="s">
        <v>42</v>
      </c>
      <c r="F19">
        <v>2</v>
      </c>
      <c r="G19" t="s">
        <v>37</v>
      </c>
      <c r="H19" t="s">
        <v>36</v>
      </c>
      <c r="I19" t="s">
        <v>27</v>
      </c>
      <c r="J19" t="s">
        <v>37</v>
      </c>
      <c r="K19" s="2">
        <v>73086.47</v>
      </c>
      <c r="L19" s="2">
        <v>37804.160000000003</v>
      </c>
      <c r="M19" s="2">
        <v>35282.31</v>
      </c>
      <c r="N19" s="2">
        <v>5846.37</v>
      </c>
      <c r="O19" s="2">
        <v>29435.94</v>
      </c>
      <c r="P19" s="3">
        <v>40.28</v>
      </c>
      <c r="Q19" s="2">
        <v>1952644.07</v>
      </c>
      <c r="R19" s="2">
        <v>689757.96</v>
      </c>
      <c r="S19" s="2">
        <v>1262886.1100000001</v>
      </c>
      <c r="T19" s="2">
        <v>36554.769999999997</v>
      </c>
      <c r="U19" s="2">
        <v>-56671.57</v>
      </c>
      <c r="V19" s="2">
        <v>52774.57</v>
      </c>
      <c r="W19" s="2">
        <v>32657.77</v>
      </c>
    </row>
    <row r="20" spans="1:23">
      <c r="A20">
        <v>354</v>
      </c>
      <c r="B20" s="1">
        <v>44250</v>
      </c>
      <c r="C20" t="s">
        <v>23</v>
      </c>
      <c r="D20">
        <v>1</v>
      </c>
      <c r="E20" t="s">
        <v>42</v>
      </c>
      <c r="F20">
        <v>2</v>
      </c>
      <c r="G20" t="s">
        <v>40</v>
      </c>
      <c r="H20" t="s">
        <v>30</v>
      </c>
      <c r="I20" t="s">
        <v>35</v>
      </c>
      <c r="J20" t="s">
        <v>44</v>
      </c>
      <c r="K20" s="2">
        <v>116194.59</v>
      </c>
      <c r="L20" s="2">
        <v>69384.81</v>
      </c>
      <c r="M20" s="2">
        <v>46809.78</v>
      </c>
      <c r="N20" s="2">
        <v>11493.96</v>
      </c>
      <c r="O20" s="2">
        <v>35315.82</v>
      </c>
      <c r="P20" s="3">
        <v>30.39</v>
      </c>
      <c r="Q20" s="2">
        <v>2948893.98</v>
      </c>
      <c r="R20" s="2">
        <v>1061883.96</v>
      </c>
      <c r="S20" s="2">
        <v>1887010.02</v>
      </c>
      <c r="T20" s="2">
        <v>62070.93</v>
      </c>
      <c r="U20" s="2">
        <v>-42850.8</v>
      </c>
      <c r="V20" s="2">
        <v>50424.33</v>
      </c>
      <c r="W20" s="2">
        <v>69644.460000000006</v>
      </c>
    </row>
    <row r="21" spans="1:23" ht="15.75" customHeight="1">
      <c r="A21">
        <v>125</v>
      </c>
      <c r="B21" s="1">
        <v>44261</v>
      </c>
      <c r="C21" t="s">
        <v>23</v>
      </c>
      <c r="D21">
        <v>1</v>
      </c>
      <c r="E21" t="s">
        <v>45</v>
      </c>
      <c r="F21">
        <v>3</v>
      </c>
      <c r="G21" t="s">
        <v>40</v>
      </c>
      <c r="H21" t="s">
        <v>34</v>
      </c>
      <c r="I21" t="s">
        <v>35</v>
      </c>
      <c r="J21" t="s">
        <v>39</v>
      </c>
      <c r="K21" s="2">
        <v>107608.46</v>
      </c>
      <c r="L21" s="2">
        <v>61337.2</v>
      </c>
      <c r="M21" s="2">
        <v>46271.26</v>
      </c>
      <c r="N21" s="2">
        <v>6321.13</v>
      </c>
      <c r="O21" s="2">
        <v>39950.129999999997</v>
      </c>
      <c r="P21" s="3">
        <v>37.130000000000003</v>
      </c>
      <c r="Q21" s="2">
        <v>3512691.3</v>
      </c>
      <c r="R21" s="2">
        <v>2275014.7000000002</v>
      </c>
      <c r="S21" s="2">
        <v>1237676.6000000001</v>
      </c>
      <c r="T21" s="2">
        <v>62897.27</v>
      </c>
      <c r="U21" s="2">
        <v>-14221.66</v>
      </c>
      <c r="V21" s="2">
        <v>33065.050000000003</v>
      </c>
      <c r="W21" s="2">
        <v>81740.66</v>
      </c>
    </row>
    <row r="22" spans="1:23" ht="15.75" customHeight="1">
      <c r="A22">
        <v>15</v>
      </c>
      <c r="B22" s="1">
        <v>44284</v>
      </c>
      <c r="C22" t="s">
        <v>23</v>
      </c>
      <c r="D22">
        <v>1</v>
      </c>
      <c r="E22" t="s">
        <v>45</v>
      </c>
      <c r="F22">
        <v>3</v>
      </c>
      <c r="G22" t="s">
        <v>40</v>
      </c>
      <c r="H22" t="s">
        <v>34</v>
      </c>
      <c r="I22" t="s">
        <v>35</v>
      </c>
      <c r="J22" t="s">
        <v>44</v>
      </c>
      <c r="K22" s="2">
        <v>58605.41</v>
      </c>
      <c r="L22" s="2">
        <v>32758.240000000002</v>
      </c>
      <c r="M22" s="2">
        <v>25847.17</v>
      </c>
      <c r="N22" s="2">
        <v>6443.48</v>
      </c>
      <c r="O22" s="2">
        <v>19403.689999999999</v>
      </c>
      <c r="P22" s="3">
        <v>33.11</v>
      </c>
      <c r="Q22" s="2">
        <v>3636162.75</v>
      </c>
      <c r="R22" s="2">
        <v>1467848.84</v>
      </c>
      <c r="S22" s="2">
        <v>2168313.91</v>
      </c>
      <c r="T22" s="2">
        <v>48371.75</v>
      </c>
      <c r="U22" s="2">
        <v>21525.43</v>
      </c>
      <c r="V22" s="2">
        <v>55870.239999999998</v>
      </c>
      <c r="W22" s="2">
        <v>125767.42</v>
      </c>
    </row>
    <row r="23" spans="1:23" ht="15.75" customHeight="1">
      <c r="A23">
        <v>74</v>
      </c>
      <c r="B23" s="1">
        <v>44288</v>
      </c>
      <c r="C23" t="s">
        <v>23</v>
      </c>
      <c r="D23">
        <v>2</v>
      </c>
      <c r="E23" t="s">
        <v>46</v>
      </c>
      <c r="F23">
        <v>4</v>
      </c>
      <c r="G23" t="s">
        <v>29</v>
      </c>
      <c r="H23" t="s">
        <v>26</v>
      </c>
      <c r="I23" t="s">
        <v>31</v>
      </c>
      <c r="J23" t="s">
        <v>32</v>
      </c>
      <c r="K23" s="2">
        <v>50890.26</v>
      </c>
      <c r="L23" s="2">
        <v>41563.72</v>
      </c>
      <c r="M23" s="2">
        <v>9326.5400000000009</v>
      </c>
      <c r="N23" s="2">
        <v>1113.44</v>
      </c>
      <c r="O23" s="2">
        <v>8213.1</v>
      </c>
      <c r="P23" s="3">
        <v>16.14</v>
      </c>
      <c r="Q23" s="2">
        <v>4742292.9800000004</v>
      </c>
      <c r="R23" s="2">
        <v>2417899.14</v>
      </c>
      <c r="S23" s="2">
        <v>2324393.84</v>
      </c>
      <c r="T23" s="2">
        <v>26832.04</v>
      </c>
      <c r="U23" s="2">
        <v>-18731.150000000001</v>
      </c>
      <c r="V23" s="2">
        <v>-16933.02</v>
      </c>
      <c r="W23" s="2">
        <v>-8832.1299999999992</v>
      </c>
    </row>
    <row r="24" spans="1:23" ht="15.75" customHeight="1">
      <c r="A24">
        <v>596</v>
      </c>
      <c r="B24" s="1">
        <v>44290</v>
      </c>
      <c r="C24" t="s">
        <v>23</v>
      </c>
      <c r="D24">
        <v>2</v>
      </c>
      <c r="E24" t="s">
        <v>46</v>
      </c>
      <c r="F24">
        <v>4</v>
      </c>
      <c r="G24" t="s">
        <v>29</v>
      </c>
      <c r="H24" t="s">
        <v>30</v>
      </c>
      <c r="I24" t="s">
        <v>31</v>
      </c>
      <c r="J24" t="s">
        <v>32</v>
      </c>
      <c r="K24" s="2">
        <v>126806.36</v>
      </c>
      <c r="L24" s="2">
        <v>66362.37</v>
      </c>
      <c r="M24" s="2">
        <v>60443.99</v>
      </c>
      <c r="N24" s="2">
        <v>6315.22</v>
      </c>
      <c r="O24" s="2">
        <v>54128.77</v>
      </c>
      <c r="P24" s="3">
        <v>42.69</v>
      </c>
      <c r="Q24" s="2">
        <v>4997605.5199999996</v>
      </c>
      <c r="R24" s="2">
        <v>2493557.14</v>
      </c>
      <c r="S24" s="2">
        <v>2504048.38</v>
      </c>
      <c r="T24" s="2">
        <v>58607.8</v>
      </c>
      <c r="U24" s="2">
        <v>-41183.550000000003</v>
      </c>
      <c r="V24" s="2">
        <v>20392.04</v>
      </c>
      <c r="W24" s="2">
        <v>37816.29</v>
      </c>
    </row>
    <row r="25" spans="1:23" ht="15.75" customHeight="1">
      <c r="A25">
        <v>187</v>
      </c>
      <c r="B25" s="1">
        <v>44292</v>
      </c>
      <c r="C25" t="s">
        <v>23</v>
      </c>
      <c r="D25">
        <v>2</v>
      </c>
      <c r="E25" t="s">
        <v>46</v>
      </c>
      <c r="F25">
        <v>4</v>
      </c>
      <c r="G25" t="s">
        <v>40</v>
      </c>
      <c r="H25" t="s">
        <v>30</v>
      </c>
      <c r="I25" t="s">
        <v>38</v>
      </c>
      <c r="J25" t="s">
        <v>32</v>
      </c>
      <c r="K25" s="2">
        <v>30060.080000000002</v>
      </c>
      <c r="L25" s="2">
        <v>23187.27</v>
      </c>
      <c r="M25" s="2">
        <v>6872.81</v>
      </c>
      <c r="N25" s="2">
        <v>625.4</v>
      </c>
      <c r="O25" s="2">
        <v>6247.41</v>
      </c>
      <c r="P25" s="3">
        <v>20.78</v>
      </c>
      <c r="Q25" s="2">
        <v>4801210.18</v>
      </c>
      <c r="R25" s="2">
        <v>1248587.28</v>
      </c>
      <c r="S25" s="2">
        <v>3552622.9</v>
      </c>
      <c r="T25" s="2">
        <v>31803.45</v>
      </c>
      <c r="U25" s="2">
        <v>-61779.29</v>
      </c>
      <c r="V25" s="2">
        <v>51067.66</v>
      </c>
      <c r="W25" s="2">
        <v>21091.82</v>
      </c>
    </row>
    <row r="26" spans="1:23" ht="15.75" customHeight="1">
      <c r="A26">
        <v>157</v>
      </c>
      <c r="B26" s="1">
        <v>44295</v>
      </c>
      <c r="C26" t="s">
        <v>23</v>
      </c>
      <c r="D26">
        <v>2</v>
      </c>
      <c r="E26" t="s">
        <v>46</v>
      </c>
      <c r="F26">
        <v>4</v>
      </c>
      <c r="G26" t="s">
        <v>33</v>
      </c>
      <c r="H26" t="s">
        <v>36</v>
      </c>
      <c r="I26" t="s">
        <v>38</v>
      </c>
      <c r="J26" t="s">
        <v>44</v>
      </c>
      <c r="K26" s="2">
        <v>140618.41</v>
      </c>
      <c r="L26" s="2">
        <v>114368.97</v>
      </c>
      <c r="M26" s="2">
        <v>26249.439999999999</v>
      </c>
      <c r="N26" s="2">
        <v>3036.36</v>
      </c>
      <c r="O26" s="2">
        <v>23213.08</v>
      </c>
      <c r="P26" s="3">
        <v>16.510000000000002</v>
      </c>
      <c r="Q26" s="2">
        <v>4213088</v>
      </c>
      <c r="R26" s="2">
        <v>1930094.11</v>
      </c>
      <c r="S26" s="2">
        <v>2282993.89</v>
      </c>
      <c r="T26" s="2">
        <v>23090.09</v>
      </c>
      <c r="U26" s="2">
        <v>-57762.32</v>
      </c>
      <c r="V26" s="2">
        <v>33550.559999999998</v>
      </c>
      <c r="W26" s="2">
        <v>-1121.67</v>
      </c>
    </row>
    <row r="27" spans="1:23" ht="15.75" customHeight="1">
      <c r="A27">
        <v>368</v>
      </c>
      <c r="B27" s="1">
        <v>44295</v>
      </c>
      <c r="C27" t="s">
        <v>23</v>
      </c>
      <c r="D27">
        <v>2</v>
      </c>
      <c r="E27" t="s">
        <v>46</v>
      </c>
      <c r="F27">
        <v>4</v>
      </c>
      <c r="G27" t="s">
        <v>40</v>
      </c>
      <c r="H27" t="s">
        <v>34</v>
      </c>
      <c r="I27" t="s">
        <v>27</v>
      </c>
      <c r="J27" t="s">
        <v>44</v>
      </c>
      <c r="K27" s="2">
        <v>112407.53</v>
      </c>
      <c r="L27" s="2">
        <v>71390.37</v>
      </c>
      <c r="M27" s="2">
        <v>41017.160000000003</v>
      </c>
      <c r="N27" s="2">
        <v>3765.25</v>
      </c>
      <c r="O27" s="2">
        <v>37251.910000000003</v>
      </c>
      <c r="P27" s="3">
        <v>33.14</v>
      </c>
      <c r="Q27" s="2">
        <v>904445.83</v>
      </c>
      <c r="R27" s="2">
        <v>443508.4</v>
      </c>
      <c r="S27" s="2">
        <v>460937.43</v>
      </c>
      <c r="T27" s="2">
        <v>34528.6</v>
      </c>
      <c r="U27" s="2">
        <v>21726.81</v>
      </c>
      <c r="V27" s="2">
        <v>659.05</v>
      </c>
      <c r="W27" s="2">
        <v>56914.46</v>
      </c>
    </row>
    <row r="28" spans="1:23" ht="15.75" customHeight="1">
      <c r="A28">
        <v>433</v>
      </c>
      <c r="B28" s="1">
        <v>44295</v>
      </c>
      <c r="C28" t="s">
        <v>23</v>
      </c>
      <c r="D28">
        <v>2</v>
      </c>
      <c r="E28" t="s">
        <v>46</v>
      </c>
      <c r="F28">
        <v>4</v>
      </c>
      <c r="G28" t="s">
        <v>37</v>
      </c>
      <c r="H28" t="s">
        <v>26</v>
      </c>
      <c r="I28" t="s">
        <v>31</v>
      </c>
      <c r="J28" t="s">
        <v>29</v>
      </c>
      <c r="K28" s="2">
        <v>53662.65</v>
      </c>
      <c r="L28" s="2">
        <v>32649.29</v>
      </c>
      <c r="M28" s="2">
        <v>21013.360000000001</v>
      </c>
      <c r="N28" s="2">
        <v>1900.5</v>
      </c>
      <c r="O28" s="2">
        <v>19112.86</v>
      </c>
      <c r="P28" s="3">
        <v>35.619999999999997</v>
      </c>
      <c r="Q28" s="2">
        <v>1507660.65</v>
      </c>
      <c r="R28" s="2">
        <v>595992</v>
      </c>
      <c r="S28" s="2">
        <v>911668.65</v>
      </c>
      <c r="T28" s="2">
        <v>24204.66</v>
      </c>
      <c r="U28" s="2">
        <v>27749.63</v>
      </c>
      <c r="V28" s="2">
        <v>40786.559999999998</v>
      </c>
      <c r="W28" s="2">
        <v>92740.85</v>
      </c>
    </row>
    <row r="29" spans="1:23" ht="15.75" customHeight="1">
      <c r="A29">
        <v>362</v>
      </c>
      <c r="B29" s="1">
        <v>44300</v>
      </c>
      <c r="C29" t="s">
        <v>23</v>
      </c>
      <c r="D29">
        <v>2</v>
      </c>
      <c r="E29" t="s">
        <v>46</v>
      </c>
      <c r="F29">
        <v>4</v>
      </c>
      <c r="G29" t="s">
        <v>33</v>
      </c>
      <c r="H29" t="s">
        <v>26</v>
      </c>
      <c r="I29" t="s">
        <v>38</v>
      </c>
      <c r="J29" t="s">
        <v>44</v>
      </c>
      <c r="K29" s="2">
        <v>28647.54</v>
      </c>
      <c r="L29" s="2">
        <v>17445.22</v>
      </c>
      <c r="M29" s="2">
        <v>11202.32</v>
      </c>
      <c r="N29" s="2">
        <v>1427.39</v>
      </c>
      <c r="O29" s="2">
        <v>9774.93</v>
      </c>
      <c r="P29" s="3">
        <v>34.119999999999997</v>
      </c>
      <c r="Q29" s="2">
        <v>1081285</v>
      </c>
      <c r="R29" s="2">
        <v>313376.51</v>
      </c>
      <c r="S29" s="2">
        <v>767908.49</v>
      </c>
      <c r="T29" s="2">
        <v>28030.3</v>
      </c>
      <c r="U29" s="2">
        <v>-17639.95</v>
      </c>
      <c r="V29" s="2">
        <v>-14641.59</v>
      </c>
      <c r="W29" s="2">
        <v>-4251.24</v>
      </c>
    </row>
    <row r="30" spans="1:23" ht="15.75" customHeight="1">
      <c r="A30">
        <v>262</v>
      </c>
      <c r="B30" s="1">
        <v>44309</v>
      </c>
      <c r="C30" t="s">
        <v>23</v>
      </c>
      <c r="D30">
        <v>2</v>
      </c>
      <c r="E30" t="s">
        <v>46</v>
      </c>
      <c r="F30">
        <v>4</v>
      </c>
      <c r="G30" t="s">
        <v>40</v>
      </c>
      <c r="H30" t="s">
        <v>30</v>
      </c>
      <c r="I30" t="s">
        <v>38</v>
      </c>
      <c r="J30" t="s">
        <v>44</v>
      </c>
      <c r="K30" s="2">
        <v>161087.6</v>
      </c>
      <c r="L30" s="2">
        <v>108578.96</v>
      </c>
      <c r="M30" s="2">
        <v>52508.639999999999</v>
      </c>
      <c r="N30" s="2">
        <v>6406.7</v>
      </c>
      <c r="O30" s="2">
        <v>46101.94</v>
      </c>
      <c r="P30" s="3">
        <v>28.62</v>
      </c>
      <c r="Q30" s="2">
        <v>2101346.42</v>
      </c>
      <c r="R30" s="2">
        <v>595874.21</v>
      </c>
      <c r="S30" s="2">
        <v>1505472.21</v>
      </c>
      <c r="T30" s="2">
        <v>42778.95</v>
      </c>
      <c r="U30" s="2">
        <v>-2245.91</v>
      </c>
      <c r="V30" s="2">
        <v>-32788.89</v>
      </c>
      <c r="W30" s="2">
        <v>7744.15</v>
      </c>
    </row>
    <row r="31" spans="1:23" ht="15.75" customHeight="1">
      <c r="A31">
        <v>557</v>
      </c>
      <c r="B31" s="1">
        <v>44313</v>
      </c>
      <c r="C31" t="s">
        <v>23</v>
      </c>
      <c r="D31">
        <v>2</v>
      </c>
      <c r="E31" t="s">
        <v>46</v>
      </c>
      <c r="F31">
        <v>4</v>
      </c>
      <c r="G31" t="s">
        <v>33</v>
      </c>
      <c r="H31" t="s">
        <v>36</v>
      </c>
      <c r="I31" t="s">
        <v>31</v>
      </c>
      <c r="J31" t="s">
        <v>41</v>
      </c>
      <c r="K31" s="2">
        <v>49933.35</v>
      </c>
      <c r="L31" s="2">
        <v>35409.17</v>
      </c>
      <c r="M31" s="2">
        <v>14524.18</v>
      </c>
      <c r="N31" s="2">
        <v>3035.66</v>
      </c>
      <c r="O31" s="2">
        <v>11488.52</v>
      </c>
      <c r="P31" s="3">
        <v>23.01</v>
      </c>
      <c r="Q31" s="2">
        <v>976084.34</v>
      </c>
      <c r="R31" s="2">
        <v>441635.16</v>
      </c>
      <c r="S31" s="2">
        <v>534449.18000000005</v>
      </c>
      <c r="T31" s="2">
        <v>46658.52</v>
      </c>
      <c r="U31" s="2">
        <v>23616.3</v>
      </c>
      <c r="V31" s="2">
        <v>11351.79</v>
      </c>
      <c r="W31" s="2">
        <v>81626.61</v>
      </c>
    </row>
    <row r="32" spans="1:23" ht="15.75" customHeight="1">
      <c r="A32">
        <v>549</v>
      </c>
      <c r="B32" s="1">
        <v>44316</v>
      </c>
      <c r="C32" t="s">
        <v>23</v>
      </c>
      <c r="D32">
        <v>2</v>
      </c>
      <c r="E32" t="s">
        <v>46</v>
      </c>
      <c r="F32">
        <v>4</v>
      </c>
      <c r="G32" t="s">
        <v>43</v>
      </c>
      <c r="H32" t="s">
        <v>36</v>
      </c>
      <c r="I32" t="s">
        <v>35</v>
      </c>
      <c r="J32" t="s">
        <v>39</v>
      </c>
      <c r="K32" s="2">
        <v>88001.72</v>
      </c>
      <c r="L32" s="2">
        <v>64732.25</v>
      </c>
      <c r="M32" s="2">
        <v>23269.47</v>
      </c>
      <c r="N32" s="2">
        <v>3775.68</v>
      </c>
      <c r="O32" s="2">
        <v>19493.79</v>
      </c>
      <c r="P32" s="3">
        <v>22.15</v>
      </c>
      <c r="Q32" s="2">
        <v>4538895.47</v>
      </c>
      <c r="R32" s="2">
        <v>2782817.23</v>
      </c>
      <c r="S32" s="2">
        <v>1756078.24</v>
      </c>
      <c r="T32" s="2">
        <v>-3512.87</v>
      </c>
      <c r="U32" s="2">
        <v>23649.33</v>
      </c>
      <c r="V32" s="2">
        <v>42553.48</v>
      </c>
      <c r="W32" s="2">
        <v>62689.94</v>
      </c>
    </row>
    <row r="33" spans="1:23" ht="15.75" customHeight="1">
      <c r="A33">
        <v>10</v>
      </c>
      <c r="B33" s="1">
        <v>44318</v>
      </c>
      <c r="C33" t="s">
        <v>23</v>
      </c>
      <c r="D33">
        <v>2</v>
      </c>
      <c r="E33" t="s">
        <v>47</v>
      </c>
      <c r="F33">
        <v>5</v>
      </c>
      <c r="G33" t="s">
        <v>29</v>
      </c>
      <c r="H33" t="s">
        <v>36</v>
      </c>
      <c r="I33" t="s">
        <v>27</v>
      </c>
      <c r="J33" t="s">
        <v>41</v>
      </c>
      <c r="K33" s="2">
        <v>47163.71</v>
      </c>
      <c r="L33" s="2">
        <v>34512.47</v>
      </c>
      <c r="M33" s="2">
        <v>12651.24</v>
      </c>
      <c r="N33" s="2">
        <v>2341.71</v>
      </c>
      <c r="O33" s="2">
        <v>10309.530000000001</v>
      </c>
      <c r="P33" s="3">
        <v>21.86</v>
      </c>
      <c r="Q33" s="2">
        <v>955052.04</v>
      </c>
      <c r="R33" s="2">
        <v>270893.56</v>
      </c>
      <c r="S33" s="2">
        <v>684158.48</v>
      </c>
      <c r="T33" s="2">
        <v>36387.06</v>
      </c>
      <c r="U33" s="2">
        <v>-62723.7</v>
      </c>
      <c r="V33" s="2">
        <v>42186.01</v>
      </c>
      <c r="W33" s="2">
        <v>15849.37</v>
      </c>
    </row>
    <row r="34" spans="1:23" ht="15.75" customHeight="1">
      <c r="A34">
        <v>285</v>
      </c>
      <c r="B34" s="1">
        <v>44319</v>
      </c>
      <c r="C34" t="s">
        <v>23</v>
      </c>
      <c r="D34">
        <v>2</v>
      </c>
      <c r="E34" t="s">
        <v>47</v>
      </c>
      <c r="F34">
        <v>5</v>
      </c>
      <c r="G34" t="s">
        <v>33</v>
      </c>
      <c r="H34" t="s">
        <v>30</v>
      </c>
      <c r="I34" t="s">
        <v>38</v>
      </c>
      <c r="J34" t="s">
        <v>29</v>
      </c>
      <c r="K34" s="2">
        <v>42886.17</v>
      </c>
      <c r="L34" s="2">
        <v>28908.97</v>
      </c>
      <c r="M34" s="2">
        <v>13977.2</v>
      </c>
      <c r="N34" s="2">
        <v>1396.67</v>
      </c>
      <c r="O34" s="2">
        <v>12580.53</v>
      </c>
      <c r="P34" s="3">
        <v>29.33</v>
      </c>
      <c r="Q34" s="2">
        <v>2017429.59</v>
      </c>
      <c r="R34" s="2">
        <v>619626.84</v>
      </c>
      <c r="S34" s="2">
        <v>1397802.75</v>
      </c>
      <c r="T34" s="2">
        <v>37946.42</v>
      </c>
      <c r="U34" s="2">
        <v>-49374.79</v>
      </c>
      <c r="V34" s="2">
        <v>-814.06</v>
      </c>
      <c r="W34" s="2">
        <v>-12242.43</v>
      </c>
    </row>
    <row r="35" spans="1:23" ht="15.75" customHeight="1">
      <c r="A35">
        <v>453</v>
      </c>
      <c r="B35" s="1">
        <v>44324</v>
      </c>
      <c r="C35" t="s">
        <v>23</v>
      </c>
      <c r="D35">
        <v>2</v>
      </c>
      <c r="E35" t="s">
        <v>47</v>
      </c>
      <c r="F35">
        <v>5</v>
      </c>
      <c r="G35" t="s">
        <v>37</v>
      </c>
      <c r="H35" t="s">
        <v>36</v>
      </c>
      <c r="I35" t="s">
        <v>35</v>
      </c>
      <c r="J35" t="s">
        <v>41</v>
      </c>
      <c r="K35" s="2">
        <v>46447.07</v>
      </c>
      <c r="L35" s="2">
        <v>33586.910000000003</v>
      </c>
      <c r="M35" s="2">
        <v>12860.16</v>
      </c>
      <c r="N35" s="2">
        <v>2902.33</v>
      </c>
      <c r="O35" s="2">
        <v>9957.83</v>
      </c>
      <c r="P35" s="3">
        <v>21.44</v>
      </c>
      <c r="Q35" s="2">
        <v>4724215.8600000003</v>
      </c>
      <c r="R35" s="2">
        <v>2111464.29</v>
      </c>
      <c r="S35" s="2">
        <v>2612751.5699999998</v>
      </c>
      <c r="T35" s="2">
        <v>36027.089999999997</v>
      </c>
      <c r="U35" s="2">
        <v>15555.11</v>
      </c>
      <c r="V35" s="2">
        <v>1829.11</v>
      </c>
      <c r="W35" s="2">
        <v>53411.31</v>
      </c>
    </row>
    <row r="36" spans="1:23" ht="15.75" customHeight="1">
      <c r="A36">
        <v>20</v>
      </c>
      <c r="B36" s="1">
        <v>44327</v>
      </c>
      <c r="C36" t="s">
        <v>23</v>
      </c>
      <c r="D36">
        <v>2</v>
      </c>
      <c r="E36" t="s">
        <v>47</v>
      </c>
      <c r="F36">
        <v>5</v>
      </c>
      <c r="G36" t="s">
        <v>33</v>
      </c>
      <c r="H36" t="s">
        <v>30</v>
      </c>
      <c r="I36" t="s">
        <v>27</v>
      </c>
      <c r="J36" t="s">
        <v>41</v>
      </c>
      <c r="K36" s="2">
        <v>141236.17000000001</v>
      </c>
      <c r="L36" s="2">
        <v>111275.93</v>
      </c>
      <c r="M36" s="2">
        <v>29960.240000000002</v>
      </c>
      <c r="N36" s="2">
        <v>5377.13</v>
      </c>
      <c r="O36" s="2">
        <v>24583.11</v>
      </c>
      <c r="P36" s="3">
        <v>17.41</v>
      </c>
      <c r="Q36" s="2">
        <v>3767543.8</v>
      </c>
      <c r="R36" s="2">
        <v>2082820.59</v>
      </c>
      <c r="S36" s="2">
        <v>1684723.21</v>
      </c>
      <c r="T36" s="2">
        <v>24811.15</v>
      </c>
      <c r="U36" s="2">
        <v>-45891.519999999997</v>
      </c>
      <c r="V36" s="2">
        <v>-19495.47</v>
      </c>
      <c r="W36" s="2">
        <v>-40575.839999999997</v>
      </c>
    </row>
    <row r="37" spans="1:23" ht="15.75" customHeight="1">
      <c r="A37">
        <v>146</v>
      </c>
      <c r="B37" s="1">
        <v>44331</v>
      </c>
      <c r="C37" t="s">
        <v>23</v>
      </c>
      <c r="D37">
        <v>2</v>
      </c>
      <c r="E37" t="s">
        <v>47</v>
      </c>
      <c r="F37">
        <v>5</v>
      </c>
      <c r="G37" t="s">
        <v>33</v>
      </c>
      <c r="H37" t="s">
        <v>34</v>
      </c>
      <c r="I37" t="s">
        <v>31</v>
      </c>
      <c r="J37" t="s">
        <v>37</v>
      </c>
      <c r="K37" s="2">
        <v>70387.42</v>
      </c>
      <c r="L37" s="2">
        <v>57196.04</v>
      </c>
      <c r="M37" s="2">
        <v>13191.38</v>
      </c>
      <c r="N37" s="2">
        <v>2405.0500000000002</v>
      </c>
      <c r="O37" s="2">
        <v>10786.33</v>
      </c>
      <c r="P37" s="3">
        <v>15.32</v>
      </c>
      <c r="Q37" s="2">
        <v>3120901.96</v>
      </c>
      <c r="R37" s="2">
        <v>1714090.71</v>
      </c>
      <c r="S37" s="2">
        <v>1406811.25</v>
      </c>
      <c r="T37" s="2">
        <v>45727.91</v>
      </c>
      <c r="U37" s="2">
        <v>-4352.1400000000003</v>
      </c>
      <c r="V37" s="2">
        <v>-27190.43</v>
      </c>
      <c r="W37" s="2">
        <v>14185.34</v>
      </c>
    </row>
    <row r="38" spans="1:23" ht="15.75" customHeight="1">
      <c r="A38">
        <v>330</v>
      </c>
      <c r="B38" s="1">
        <v>44340</v>
      </c>
      <c r="C38" t="s">
        <v>23</v>
      </c>
      <c r="D38">
        <v>2</v>
      </c>
      <c r="E38" t="s">
        <v>47</v>
      </c>
      <c r="F38">
        <v>5</v>
      </c>
      <c r="G38" t="s">
        <v>43</v>
      </c>
      <c r="H38" t="s">
        <v>30</v>
      </c>
      <c r="I38" t="s">
        <v>35</v>
      </c>
      <c r="J38" t="s">
        <v>37</v>
      </c>
      <c r="K38" s="2">
        <v>78224.94</v>
      </c>
      <c r="L38" s="2">
        <v>59356.42</v>
      </c>
      <c r="M38" s="2">
        <v>18868.52</v>
      </c>
      <c r="N38" s="2">
        <v>4510.1899999999996</v>
      </c>
      <c r="O38" s="2">
        <v>14358.33</v>
      </c>
      <c r="P38" s="3">
        <v>18.36</v>
      </c>
      <c r="Q38" s="2">
        <v>1335798.82</v>
      </c>
      <c r="R38" s="2">
        <v>532988.5</v>
      </c>
      <c r="S38" s="2">
        <v>802810.32</v>
      </c>
      <c r="T38" s="2">
        <v>58648.77</v>
      </c>
      <c r="U38" s="2">
        <v>-63819.15</v>
      </c>
      <c r="V38" s="2">
        <v>-30763.95</v>
      </c>
      <c r="W38" s="2">
        <v>-35934.33</v>
      </c>
    </row>
    <row r="39" spans="1:23" ht="15.75" customHeight="1">
      <c r="A39">
        <v>296</v>
      </c>
      <c r="B39" s="1">
        <v>44340</v>
      </c>
      <c r="C39" t="s">
        <v>23</v>
      </c>
      <c r="D39">
        <v>2</v>
      </c>
      <c r="E39" t="s">
        <v>47</v>
      </c>
      <c r="F39">
        <v>5</v>
      </c>
      <c r="G39" t="s">
        <v>29</v>
      </c>
      <c r="H39" t="s">
        <v>30</v>
      </c>
      <c r="I39" t="s">
        <v>27</v>
      </c>
      <c r="J39" t="s">
        <v>37</v>
      </c>
      <c r="K39" s="2">
        <v>140976.09</v>
      </c>
      <c r="L39" s="2">
        <v>75177.679999999993</v>
      </c>
      <c r="M39" s="2">
        <v>65798.41</v>
      </c>
      <c r="N39" s="2">
        <v>11178.04</v>
      </c>
      <c r="O39" s="2">
        <v>54620.37</v>
      </c>
      <c r="P39" s="3">
        <v>38.74</v>
      </c>
      <c r="Q39" s="2">
        <v>4216629.68</v>
      </c>
      <c r="R39" s="2">
        <v>1835270.72</v>
      </c>
      <c r="S39" s="2">
        <v>2381358.96</v>
      </c>
      <c r="T39" s="2">
        <v>46896.97</v>
      </c>
      <c r="U39" s="2">
        <v>-4529.09</v>
      </c>
      <c r="V39" s="2">
        <v>42376.74</v>
      </c>
      <c r="W39" s="2">
        <v>84744.62</v>
      </c>
    </row>
    <row r="40" spans="1:23" ht="15.75" customHeight="1">
      <c r="A40">
        <v>311</v>
      </c>
      <c r="B40" s="1">
        <v>44343</v>
      </c>
      <c r="C40" t="s">
        <v>23</v>
      </c>
      <c r="D40">
        <v>2</v>
      </c>
      <c r="E40" t="s">
        <v>47</v>
      </c>
      <c r="F40">
        <v>5</v>
      </c>
      <c r="G40" t="s">
        <v>43</v>
      </c>
      <c r="H40" t="s">
        <v>34</v>
      </c>
      <c r="I40" t="s">
        <v>38</v>
      </c>
      <c r="J40" t="s">
        <v>28</v>
      </c>
      <c r="K40" s="2">
        <v>97711.62</v>
      </c>
      <c r="L40" s="2">
        <v>53679.64</v>
      </c>
      <c r="M40" s="2">
        <v>44031.98</v>
      </c>
      <c r="N40" s="2">
        <v>4278.42</v>
      </c>
      <c r="O40" s="2">
        <v>39753.56</v>
      </c>
      <c r="P40" s="3">
        <v>40.68</v>
      </c>
      <c r="Q40" s="2">
        <v>1253709.8999999999</v>
      </c>
      <c r="R40" s="2">
        <v>387283.81</v>
      </c>
      <c r="S40" s="2">
        <v>866426.09</v>
      </c>
      <c r="T40" s="2">
        <v>87599.7</v>
      </c>
      <c r="U40" s="2">
        <v>5929.25</v>
      </c>
      <c r="V40" s="2">
        <v>56776.15</v>
      </c>
      <c r="W40" s="2">
        <v>150305.1</v>
      </c>
    </row>
    <row r="41" spans="1:23" ht="15.75" customHeight="1">
      <c r="A41">
        <v>510</v>
      </c>
      <c r="B41" s="1">
        <v>44346</v>
      </c>
      <c r="C41" t="s">
        <v>23</v>
      </c>
      <c r="D41">
        <v>2</v>
      </c>
      <c r="E41" t="s">
        <v>47</v>
      </c>
      <c r="F41">
        <v>5</v>
      </c>
      <c r="G41" t="s">
        <v>37</v>
      </c>
      <c r="H41" t="s">
        <v>26</v>
      </c>
      <c r="I41" t="s">
        <v>38</v>
      </c>
      <c r="J41" t="s">
        <v>28</v>
      </c>
      <c r="K41" s="2">
        <v>179720.99</v>
      </c>
      <c r="L41" s="2">
        <v>85859.05</v>
      </c>
      <c r="M41" s="2">
        <v>93861.94</v>
      </c>
      <c r="N41" s="2">
        <v>11067.42</v>
      </c>
      <c r="O41" s="2">
        <v>82794.52</v>
      </c>
      <c r="P41" s="3">
        <v>46.07</v>
      </c>
      <c r="Q41" s="2">
        <v>2335531.7200000002</v>
      </c>
      <c r="R41" s="2">
        <v>908785.66</v>
      </c>
      <c r="S41" s="2">
        <v>1426746.06</v>
      </c>
      <c r="T41" s="2">
        <v>54526.16</v>
      </c>
      <c r="U41" s="2">
        <v>-60822.239999999998</v>
      </c>
      <c r="V41" s="2">
        <v>28095.33</v>
      </c>
      <c r="W41" s="2">
        <v>21799.25</v>
      </c>
    </row>
    <row r="42" spans="1:23" ht="15.75" customHeight="1">
      <c r="A42">
        <v>324</v>
      </c>
      <c r="B42" s="1">
        <v>44347</v>
      </c>
      <c r="C42" t="s">
        <v>23</v>
      </c>
      <c r="D42">
        <v>2</v>
      </c>
      <c r="E42" t="s">
        <v>47</v>
      </c>
      <c r="F42">
        <v>5</v>
      </c>
      <c r="G42" t="s">
        <v>33</v>
      </c>
      <c r="H42" t="s">
        <v>34</v>
      </c>
      <c r="I42" t="s">
        <v>27</v>
      </c>
      <c r="J42" t="s">
        <v>39</v>
      </c>
      <c r="K42" s="2">
        <v>125223.07</v>
      </c>
      <c r="L42" s="2">
        <v>66855.88</v>
      </c>
      <c r="M42" s="2">
        <v>58367.19</v>
      </c>
      <c r="N42" s="2">
        <v>11317.72</v>
      </c>
      <c r="O42" s="2">
        <v>47049.47</v>
      </c>
      <c r="P42" s="3">
        <v>37.57</v>
      </c>
      <c r="Q42" s="2">
        <v>2607485.84</v>
      </c>
      <c r="R42" s="2">
        <v>1458682.59</v>
      </c>
      <c r="S42" s="2">
        <v>1148803.25</v>
      </c>
      <c r="T42" s="2">
        <v>26921.54</v>
      </c>
      <c r="U42" s="2">
        <v>-7367.76</v>
      </c>
      <c r="V42" s="2">
        <v>-12152.93</v>
      </c>
      <c r="W42" s="2">
        <v>7400.85</v>
      </c>
    </row>
    <row r="43" spans="1:23" ht="15.75" customHeight="1">
      <c r="A43">
        <v>353</v>
      </c>
      <c r="B43" s="1">
        <v>44348</v>
      </c>
      <c r="C43" t="s">
        <v>23</v>
      </c>
      <c r="D43">
        <v>2</v>
      </c>
      <c r="E43" t="s">
        <v>48</v>
      </c>
      <c r="F43">
        <v>6</v>
      </c>
      <c r="G43" t="s">
        <v>37</v>
      </c>
      <c r="H43" t="s">
        <v>30</v>
      </c>
      <c r="I43" t="s">
        <v>38</v>
      </c>
      <c r="J43" t="s">
        <v>29</v>
      </c>
      <c r="K43" s="2">
        <v>168672.03</v>
      </c>
      <c r="L43" s="2">
        <v>89239.03</v>
      </c>
      <c r="M43" s="2">
        <v>79433</v>
      </c>
      <c r="N43" s="2">
        <v>12026.21</v>
      </c>
      <c r="O43" s="2">
        <v>67406.789999999994</v>
      </c>
      <c r="P43" s="3">
        <v>39.96</v>
      </c>
      <c r="Q43" s="2">
        <v>543590.97</v>
      </c>
      <c r="R43" s="2">
        <v>322448.40000000002</v>
      </c>
      <c r="S43" s="2">
        <v>221142.57</v>
      </c>
      <c r="T43" s="2">
        <v>95899.38</v>
      </c>
      <c r="U43" s="2">
        <v>24675.599999999999</v>
      </c>
      <c r="V43" s="2">
        <v>38161.550000000003</v>
      </c>
      <c r="W43" s="2">
        <v>158736.53</v>
      </c>
    </row>
    <row r="44" spans="1:23" ht="15.75" customHeight="1">
      <c r="A44">
        <v>369</v>
      </c>
      <c r="B44" s="1">
        <v>44349</v>
      </c>
      <c r="C44" t="s">
        <v>23</v>
      </c>
      <c r="D44">
        <v>2</v>
      </c>
      <c r="E44" t="s">
        <v>48</v>
      </c>
      <c r="F44">
        <v>6</v>
      </c>
      <c r="G44" t="s">
        <v>25</v>
      </c>
      <c r="H44" t="s">
        <v>30</v>
      </c>
      <c r="I44" t="s">
        <v>35</v>
      </c>
      <c r="J44" t="s">
        <v>28</v>
      </c>
      <c r="K44" s="2">
        <v>137660.01999999999</v>
      </c>
      <c r="L44" s="2">
        <v>101918.63</v>
      </c>
      <c r="M44" s="2">
        <v>35741.39</v>
      </c>
      <c r="N44" s="2">
        <v>8901.41</v>
      </c>
      <c r="O44" s="2">
        <v>26839.98</v>
      </c>
      <c r="P44" s="3">
        <v>19.5</v>
      </c>
      <c r="Q44" s="2">
        <v>3224665.63</v>
      </c>
      <c r="R44" s="2">
        <v>1203298.6599999999</v>
      </c>
      <c r="S44" s="2">
        <v>2021366.97</v>
      </c>
      <c r="T44" s="2">
        <v>63842.45</v>
      </c>
      <c r="U44" s="2">
        <v>-8551.42</v>
      </c>
      <c r="V44" s="2">
        <v>18119.54</v>
      </c>
      <c r="W44" s="2">
        <v>73410.570000000007</v>
      </c>
    </row>
    <row r="45" spans="1:23" ht="15.75" customHeight="1">
      <c r="A45">
        <v>585</v>
      </c>
      <c r="B45" s="1">
        <v>44350</v>
      </c>
      <c r="C45" t="s">
        <v>23</v>
      </c>
      <c r="D45">
        <v>2</v>
      </c>
      <c r="E45" t="s">
        <v>48</v>
      </c>
      <c r="F45">
        <v>6</v>
      </c>
      <c r="G45" t="s">
        <v>40</v>
      </c>
      <c r="H45" t="s">
        <v>34</v>
      </c>
      <c r="I45" t="s">
        <v>27</v>
      </c>
      <c r="J45" t="s">
        <v>39</v>
      </c>
      <c r="K45" s="2">
        <v>61810.34</v>
      </c>
      <c r="L45" s="2">
        <v>50202.37</v>
      </c>
      <c r="M45" s="2">
        <v>11607.97</v>
      </c>
      <c r="N45" s="2">
        <v>1691.08</v>
      </c>
      <c r="O45" s="2">
        <v>9916.89</v>
      </c>
      <c r="P45" s="3">
        <v>16.04</v>
      </c>
      <c r="Q45" s="2">
        <v>1702664.08</v>
      </c>
      <c r="R45" s="2">
        <v>712742.8</v>
      </c>
      <c r="S45" s="2">
        <v>989921.28000000003</v>
      </c>
      <c r="T45" s="2">
        <v>-12531.31</v>
      </c>
      <c r="U45" s="2">
        <v>-57429.41</v>
      </c>
      <c r="V45" s="2">
        <v>1443.4</v>
      </c>
      <c r="W45" s="2">
        <v>-68517.320000000007</v>
      </c>
    </row>
    <row r="46" spans="1:23" ht="15.75" customHeight="1">
      <c r="A46">
        <v>468</v>
      </c>
      <c r="B46" s="1">
        <v>44351</v>
      </c>
      <c r="C46" t="s">
        <v>23</v>
      </c>
      <c r="D46">
        <v>2</v>
      </c>
      <c r="E46" t="s">
        <v>48</v>
      </c>
      <c r="F46">
        <v>6</v>
      </c>
      <c r="G46" t="s">
        <v>25</v>
      </c>
      <c r="H46" t="s">
        <v>26</v>
      </c>
      <c r="I46" t="s">
        <v>38</v>
      </c>
      <c r="J46" t="s">
        <v>29</v>
      </c>
      <c r="K46" s="2">
        <v>26635.42</v>
      </c>
      <c r="L46" s="2">
        <v>15869.74</v>
      </c>
      <c r="M46" s="2">
        <v>10765.68</v>
      </c>
      <c r="N46" s="2">
        <v>2418.64</v>
      </c>
      <c r="O46" s="2">
        <v>8347.0400000000009</v>
      </c>
      <c r="P46" s="3">
        <v>31.34</v>
      </c>
      <c r="Q46" s="2">
        <v>2056364.86</v>
      </c>
      <c r="R46" s="2">
        <v>543057.31000000006</v>
      </c>
      <c r="S46" s="2">
        <v>1513307.55</v>
      </c>
      <c r="T46" s="2">
        <v>38041.410000000003</v>
      </c>
      <c r="U46" s="2">
        <v>10203.83</v>
      </c>
      <c r="V46" s="2">
        <v>-23940.63</v>
      </c>
      <c r="W46" s="2">
        <v>24304.61</v>
      </c>
    </row>
    <row r="47" spans="1:23" ht="15.75" customHeight="1">
      <c r="A47">
        <v>428</v>
      </c>
      <c r="B47" s="1">
        <v>44354</v>
      </c>
      <c r="C47" t="s">
        <v>23</v>
      </c>
      <c r="D47">
        <v>2</v>
      </c>
      <c r="E47" t="s">
        <v>48</v>
      </c>
      <c r="F47">
        <v>6</v>
      </c>
      <c r="G47" t="s">
        <v>37</v>
      </c>
      <c r="H47" t="s">
        <v>30</v>
      </c>
      <c r="I47" t="s">
        <v>38</v>
      </c>
      <c r="J47" t="s">
        <v>32</v>
      </c>
      <c r="K47" s="2">
        <v>141691.54</v>
      </c>
      <c r="L47" s="2">
        <v>102181.97</v>
      </c>
      <c r="M47" s="2">
        <v>39509.57</v>
      </c>
      <c r="N47" s="2">
        <v>9045.82</v>
      </c>
      <c r="O47" s="2">
        <v>30463.75</v>
      </c>
      <c r="P47" s="3">
        <v>21.5</v>
      </c>
      <c r="Q47" s="2">
        <v>3752530.7</v>
      </c>
      <c r="R47" s="2">
        <v>1286129.3</v>
      </c>
      <c r="S47" s="2">
        <v>2466401.4</v>
      </c>
      <c r="T47" s="2">
        <v>56908.77</v>
      </c>
      <c r="U47" s="2">
        <v>-39229.72</v>
      </c>
      <c r="V47" s="2">
        <v>-15782.53</v>
      </c>
      <c r="W47" s="2">
        <v>1896.52</v>
      </c>
    </row>
    <row r="48" spans="1:23" ht="15.75" customHeight="1">
      <c r="A48">
        <v>379</v>
      </c>
      <c r="B48" s="1">
        <v>44357</v>
      </c>
      <c r="C48" t="s">
        <v>23</v>
      </c>
      <c r="D48">
        <v>2</v>
      </c>
      <c r="E48" t="s">
        <v>48</v>
      </c>
      <c r="F48">
        <v>6</v>
      </c>
      <c r="G48" t="s">
        <v>40</v>
      </c>
      <c r="H48" t="s">
        <v>26</v>
      </c>
      <c r="I48" t="s">
        <v>35</v>
      </c>
      <c r="J48" t="s">
        <v>32</v>
      </c>
      <c r="K48" s="2">
        <v>81547.48</v>
      </c>
      <c r="L48" s="2">
        <v>56035.94</v>
      </c>
      <c r="M48" s="2">
        <v>25511.54</v>
      </c>
      <c r="N48" s="2">
        <v>4062.73</v>
      </c>
      <c r="O48" s="2">
        <v>21448.81</v>
      </c>
      <c r="P48" s="3">
        <v>26.3</v>
      </c>
      <c r="Q48" s="2">
        <v>1354712.61</v>
      </c>
      <c r="R48" s="2">
        <v>718939.63</v>
      </c>
      <c r="S48" s="2">
        <v>635772.98</v>
      </c>
      <c r="T48" s="2">
        <v>35965.980000000003</v>
      </c>
      <c r="U48" s="2">
        <v>-34137.839999999997</v>
      </c>
      <c r="V48" s="2">
        <v>51133.919999999998</v>
      </c>
      <c r="W48" s="2">
        <v>52962.06</v>
      </c>
    </row>
    <row r="49" spans="1:23" ht="15.75" customHeight="1">
      <c r="A49">
        <v>97</v>
      </c>
      <c r="B49" s="1">
        <v>44358</v>
      </c>
      <c r="C49" t="s">
        <v>23</v>
      </c>
      <c r="D49">
        <v>2</v>
      </c>
      <c r="E49" t="s">
        <v>48</v>
      </c>
      <c r="F49">
        <v>6</v>
      </c>
      <c r="G49" t="s">
        <v>40</v>
      </c>
      <c r="H49" t="s">
        <v>36</v>
      </c>
      <c r="I49" t="s">
        <v>38</v>
      </c>
      <c r="J49" t="s">
        <v>39</v>
      </c>
      <c r="K49" s="2">
        <v>120440.01</v>
      </c>
      <c r="L49" s="2">
        <v>68859.94</v>
      </c>
      <c r="M49" s="2">
        <v>51580.07</v>
      </c>
      <c r="N49" s="2">
        <v>8249.25</v>
      </c>
      <c r="O49" s="2">
        <v>43330.82</v>
      </c>
      <c r="P49" s="3">
        <v>35.979999999999997</v>
      </c>
      <c r="Q49" s="2">
        <v>3849255.8</v>
      </c>
      <c r="R49" s="2">
        <v>2304676.9</v>
      </c>
      <c r="S49" s="2">
        <v>1544578.9</v>
      </c>
      <c r="T49" s="2">
        <v>48023.25</v>
      </c>
      <c r="U49" s="2">
        <v>-65633.83</v>
      </c>
      <c r="V49" s="2">
        <v>-23832.75</v>
      </c>
      <c r="W49" s="2">
        <v>-41443.33</v>
      </c>
    </row>
    <row r="50" spans="1:23" ht="15.75" customHeight="1">
      <c r="A50">
        <v>62</v>
      </c>
      <c r="B50" s="1">
        <v>44363</v>
      </c>
      <c r="C50" t="s">
        <v>23</v>
      </c>
      <c r="D50">
        <v>2</v>
      </c>
      <c r="E50" t="s">
        <v>48</v>
      </c>
      <c r="F50">
        <v>6</v>
      </c>
      <c r="G50" t="s">
        <v>33</v>
      </c>
      <c r="H50" t="s">
        <v>36</v>
      </c>
      <c r="I50" t="s">
        <v>35</v>
      </c>
      <c r="J50" t="s">
        <v>37</v>
      </c>
      <c r="K50" s="2">
        <v>80129.27</v>
      </c>
      <c r="L50" s="2">
        <v>57376.32</v>
      </c>
      <c r="M50" s="2">
        <v>22752.95</v>
      </c>
      <c r="N50" s="2">
        <v>2969.5</v>
      </c>
      <c r="O50" s="2">
        <v>19783.45</v>
      </c>
      <c r="P50" s="3">
        <v>24.69</v>
      </c>
      <c r="Q50" s="2">
        <v>3048820.88</v>
      </c>
      <c r="R50" s="2">
        <v>1342762.18</v>
      </c>
      <c r="S50" s="2">
        <v>1706058.7</v>
      </c>
      <c r="T50" s="2">
        <v>42877.14</v>
      </c>
      <c r="U50" s="2">
        <v>23682.97</v>
      </c>
      <c r="V50" s="2">
        <v>33257.21</v>
      </c>
      <c r="W50" s="2">
        <v>99817.32</v>
      </c>
    </row>
    <row r="51" spans="1:23" ht="15.75" customHeight="1">
      <c r="A51">
        <v>440</v>
      </c>
      <c r="B51" s="1">
        <v>44377</v>
      </c>
      <c r="C51" t="s">
        <v>23</v>
      </c>
      <c r="D51">
        <v>2</v>
      </c>
      <c r="E51" t="s">
        <v>48</v>
      </c>
      <c r="F51">
        <v>6</v>
      </c>
      <c r="G51" t="s">
        <v>37</v>
      </c>
      <c r="H51" t="s">
        <v>36</v>
      </c>
      <c r="I51" t="s">
        <v>35</v>
      </c>
      <c r="J51" t="s">
        <v>37</v>
      </c>
      <c r="K51" s="2">
        <v>84150.56</v>
      </c>
      <c r="L51" s="2">
        <v>62005.23</v>
      </c>
      <c r="M51" s="2">
        <v>22145.33</v>
      </c>
      <c r="N51" s="2">
        <v>3061.38</v>
      </c>
      <c r="O51" s="2">
        <v>19083.95</v>
      </c>
      <c r="P51" s="3">
        <v>22.68</v>
      </c>
      <c r="Q51" s="2">
        <v>3324509.95</v>
      </c>
      <c r="R51" s="2">
        <v>1086471.24</v>
      </c>
      <c r="S51" s="2">
        <v>2238038.71</v>
      </c>
      <c r="T51" s="2">
        <v>765.63</v>
      </c>
      <c r="U51" s="2">
        <v>23806.41</v>
      </c>
      <c r="V51" s="2">
        <v>51764.73</v>
      </c>
      <c r="W51" s="2">
        <v>76336.77</v>
      </c>
    </row>
    <row r="52" spans="1:23" ht="15.75" customHeight="1">
      <c r="A52">
        <v>300</v>
      </c>
      <c r="B52" s="1">
        <v>44383</v>
      </c>
      <c r="C52" t="s">
        <v>23</v>
      </c>
      <c r="D52">
        <v>3</v>
      </c>
      <c r="E52" t="s">
        <v>49</v>
      </c>
      <c r="F52">
        <v>7</v>
      </c>
      <c r="G52" t="s">
        <v>40</v>
      </c>
      <c r="H52" t="s">
        <v>30</v>
      </c>
      <c r="I52" t="s">
        <v>31</v>
      </c>
      <c r="J52" t="s">
        <v>37</v>
      </c>
      <c r="K52" s="2">
        <v>25886.38</v>
      </c>
      <c r="L52" s="2">
        <v>16110.53</v>
      </c>
      <c r="M52" s="2">
        <v>9775.85</v>
      </c>
      <c r="N52" s="2">
        <v>1731.28</v>
      </c>
      <c r="O52" s="2">
        <v>8044.57</v>
      </c>
      <c r="P52" s="3">
        <v>31.08</v>
      </c>
      <c r="Q52" s="2">
        <v>1868136.23</v>
      </c>
      <c r="R52" s="2">
        <v>704739.03</v>
      </c>
      <c r="S52" s="2">
        <v>1163397.2</v>
      </c>
      <c r="T52" s="2">
        <v>54937.32</v>
      </c>
      <c r="U52" s="2">
        <v>19171.09</v>
      </c>
      <c r="V52" s="2">
        <v>44917.9</v>
      </c>
      <c r="W52" s="2">
        <v>119026.31</v>
      </c>
    </row>
    <row r="53" spans="1:23" ht="15.75" customHeight="1">
      <c r="A53">
        <v>119</v>
      </c>
      <c r="B53" s="1">
        <v>44384</v>
      </c>
      <c r="C53" t="s">
        <v>23</v>
      </c>
      <c r="D53">
        <v>3</v>
      </c>
      <c r="E53" t="s">
        <v>49</v>
      </c>
      <c r="F53">
        <v>7</v>
      </c>
      <c r="G53" t="s">
        <v>33</v>
      </c>
      <c r="H53" t="s">
        <v>26</v>
      </c>
      <c r="I53" t="s">
        <v>31</v>
      </c>
      <c r="J53" t="s">
        <v>32</v>
      </c>
      <c r="K53" s="2">
        <v>42407.17</v>
      </c>
      <c r="L53" s="2">
        <v>19123.77</v>
      </c>
      <c r="M53" s="2">
        <v>23283.4</v>
      </c>
      <c r="N53" s="2">
        <v>4387.93</v>
      </c>
      <c r="O53" s="2">
        <v>18895.47</v>
      </c>
      <c r="P53" s="3">
        <v>44.56</v>
      </c>
      <c r="Q53" s="2">
        <v>2818288.27</v>
      </c>
      <c r="R53" s="2">
        <v>1373677.18</v>
      </c>
      <c r="S53" s="2">
        <v>1444611.09</v>
      </c>
      <c r="T53" s="2">
        <v>52394.98</v>
      </c>
      <c r="U53" s="2">
        <v>-5339.41</v>
      </c>
      <c r="V53" s="2">
        <v>-22522.66</v>
      </c>
      <c r="W53" s="2">
        <v>24532.91</v>
      </c>
    </row>
    <row r="54" spans="1:23" ht="15.75" customHeight="1">
      <c r="A54">
        <v>221</v>
      </c>
      <c r="B54" s="1">
        <v>44386</v>
      </c>
      <c r="C54" t="s">
        <v>23</v>
      </c>
      <c r="D54">
        <v>3</v>
      </c>
      <c r="E54" t="s">
        <v>49</v>
      </c>
      <c r="F54">
        <v>7</v>
      </c>
      <c r="G54" t="s">
        <v>29</v>
      </c>
      <c r="H54" t="s">
        <v>34</v>
      </c>
      <c r="I54" t="s">
        <v>27</v>
      </c>
      <c r="J54" t="s">
        <v>39</v>
      </c>
      <c r="K54" s="2">
        <v>141040.01</v>
      </c>
      <c r="L54" s="2">
        <v>80041.210000000006</v>
      </c>
      <c r="M54" s="2">
        <v>60998.8</v>
      </c>
      <c r="N54" s="2">
        <v>4881.3</v>
      </c>
      <c r="O54" s="2">
        <v>56117.5</v>
      </c>
      <c r="P54" s="3">
        <v>39.79</v>
      </c>
      <c r="Q54" s="2">
        <v>2800081.13</v>
      </c>
      <c r="R54" s="2">
        <v>752495.94</v>
      </c>
      <c r="S54" s="2">
        <v>2047585.19</v>
      </c>
      <c r="T54" s="2">
        <v>48211.06</v>
      </c>
      <c r="U54" s="2">
        <v>697.65</v>
      </c>
      <c r="V54" s="2">
        <v>-33731.040000000001</v>
      </c>
      <c r="W54" s="2">
        <v>15177.67</v>
      </c>
    </row>
    <row r="55" spans="1:23" ht="15.75" customHeight="1">
      <c r="A55">
        <v>48</v>
      </c>
      <c r="B55" s="1">
        <v>44386</v>
      </c>
      <c r="C55" t="s">
        <v>23</v>
      </c>
      <c r="D55">
        <v>3</v>
      </c>
      <c r="E55" t="s">
        <v>49</v>
      </c>
      <c r="F55">
        <v>7</v>
      </c>
      <c r="G55" t="s">
        <v>33</v>
      </c>
      <c r="H55" t="s">
        <v>34</v>
      </c>
      <c r="I55" t="s">
        <v>38</v>
      </c>
      <c r="J55" t="s">
        <v>28</v>
      </c>
      <c r="K55" s="2">
        <v>25717.96</v>
      </c>
      <c r="L55" s="2">
        <v>14746.54</v>
      </c>
      <c r="M55" s="2">
        <v>10971.42</v>
      </c>
      <c r="N55" s="2">
        <v>1620.35</v>
      </c>
      <c r="O55" s="2">
        <v>9351.07</v>
      </c>
      <c r="P55" s="3">
        <v>36.36</v>
      </c>
      <c r="Q55" s="2">
        <v>2918280.21</v>
      </c>
      <c r="R55" s="2">
        <v>1803328.63</v>
      </c>
      <c r="S55" s="2">
        <v>1114951.58</v>
      </c>
      <c r="T55" s="2">
        <v>7058.75</v>
      </c>
      <c r="U55" s="2">
        <v>-35304.68</v>
      </c>
      <c r="V55" s="2">
        <v>33750.120000000003</v>
      </c>
      <c r="W55" s="2">
        <v>5504.19</v>
      </c>
    </row>
    <row r="56" spans="1:23" ht="15.75" customHeight="1">
      <c r="A56">
        <v>446</v>
      </c>
      <c r="B56" s="1">
        <v>44387</v>
      </c>
      <c r="C56" t="s">
        <v>23</v>
      </c>
      <c r="D56">
        <v>3</v>
      </c>
      <c r="E56" t="s">
        <v>49</v>
      </c>
      <c r="F56">
        <v>7</v>
      </c>
      <c r="G56" t="s">
        <v>29</v>
      </c>
      <c r="H56" t="s">
        <v>30</v>
      </c>
      <c r="I56" t="s">
        <v>35</v>
      </c>
      <c r="J56" t="s">
        <v>37</v>
      </c>
      <c r="K56" s="2">
        <v>107856.68</v>
      </c>
      <c r="L56" s="2">
        <v>56335.64</v>
      </c>
      <c r="M56" s="2">
        <v>51521.04</v>
      </c>
      <c r="N56" s="2">
        <v>5577.62</v>
      </c>
      <c r="O56" s="2">
        <v>45943.42</v>
      </c>
      <c r="P56" s="3">
        <v>42.6</v>
      </c>
      <c r="Q56" s="2">
        <v>4624201.18</v>
      </c>
      <c r="R56" s="2">
        <v>1762446.21</v>
      </c>
      <c r="S56" s="2">
        <v>2861754.97</v>
      </c>
      <c r="T56" s="2">
        <v>45710</v>
      </c>
      <c r="U56" s="2">
        <v>5982.37</v>
      </c>
      <c r="V56" s="2">
        <v>-6117.65</v>
      </c>
      <c r="W56" s="2">
        <v>45574.720000000001</v>
      </c>
    </row>
    <row r="57" spans="1:23" ht="15.75" customHeight="1">
      <c r="A57">
        <v>292</v>
      </c>
      <c r="B57" s="1">
        <v>44394</v>
      </c>
      <c r="C57" t="s">
        <v>23</v>
      </c>
      <c r="D57">
        <v>3</v>
      </c>
      <c r="E57" t="s">
        <v>49</v>
      </c>
      <c r="F57">
        <v>7</v>
      </c>
      <c r="G57" t="s">
        <v>43</v>
      </c>
      <c r="H57" t="s">
        <v>26</v>
      </c>
      <c r="I57" t="s">
        <v>38</v>
      </c>
      <c r="J57" t="s">
        <v>44</v>
      </c>
      <c r="K57" s="2">
        <v>105766.34</v>
      </c>
      <c r="L57" s="2">
        <v>61299.54</v>
      </c>
      <c r="M57" s="2">
        <v>44466.8</v>
      </c>
      <c r="N57" s="2">
        <v>8678.61</v>
      </c>
      <c r="O57" s="2">
        <v>35788.19</v>
      </c>
      <c r="P57" s="3">
        <v>33.840000000000003</v>
      </c>
      <c r="Q57" s="2">
        <v>3913258.46</v>
      </c>
      <c r="R57" s="2">
        <v>1001212.28</v>
      </c>
      <c r="S57" s="2">
        <v>2912046.18</v>
      </c>
      <c r="T57" s="2">
        <v>22367.57</v>
      </c>
      <c r="U57" s="2">
        <v>1323.59</v>
      </c>
      <c r="V57" s="2">
        <v>-1337.98</v>
      </c>
      <c r="W57" s="2">
        <v>22353.18</v>
      </c>
    </row>
    <row r="58" spans="1:23" ht="15.75" customHeight="1">
      <c r="A58">
        <v>147</v>
      </c>
      <c r="B58" s="1">
        <v>44397</v>
      </c>
      <c r="C58" t="s">
        <v>23</v>
      </c>
      <c r="D58">
        <v>3</v>
      </c>
      <c r="E58" t="s">
        <v>49</v>
      </c>
      <c r="F58">
        <v>7</v>
      </c>
      <c r="G58" t="s">
        <v>37</v>
      </c>
      <c r="H58" t="s">
        <v>36</v>
      </c>
      <c r="I58" t="s">
        <v>27</v>
      </c>
      <c r="J58" t="s">
        <v>41</v>
      </c>
      <c r="K58" s="2">
        <v>39726.81</v>
      </c>
      <c r="L58" s="2">
        <v>23403.75</v>
      </c>
      <c r="M58" s="2">
        <v>16323.06</v>
      </c>
      <c r="N58" s="2">
        <v>2832.31</v>
      </c>
      <c r="O58" s="2">
        <v>13490.75</v>
      </c>
      <c r="P58" s="3">
        <v>33.96</v>
      </c>
      <c r="Q58" s="2">
        <v>2248937.59</v>
      </c>
      <c r="R58" s="2">
        <v>709480.26</v>
      </c>
      <c r="S58" s="2">
        <v>1539457.33</v>
      </c>
      <c r="T58" s="2">
        <v>5394.05</v>
      </c>
      <c r="U58" s="2">
        <v>22831.75</v>
      </c>
      <c r="V58" s="2">
        <v>27598.23</v>
      </c>
      <c r="W58" s="2">
        <v>55824.03</v>
      </c>
    </row>
    <row r="59" spans="1:23" ht="15.75" customHeight="1">
      <c r="A59">
        <v>98</v>
      </c>
      <c r="B59" s="1">
        <v>44398</v>
      </c>
      <c r="C59" t="s">
        <v>23</v>
      </c>
      <c r="D59">
        <v>3</v>
      </c>
      <c r="E59" t="s">
        <v>49</v>
      </c>
      <c r="F59">
        <v>7</v>
      </c>
      <c r="G59" t="s">
        <v>43</v>
      </c>
      <c r="H59" t="s">
        <v>26</v>
      </c>
      <c r="I59" t="s">
        <v>31</v>
      </c>
      <c r="J59" t="s">
        <v>41</v>
      </c>
      <c r="K59" s="2">
        <v>76508.77</v>
      </c>
      <c r="L59" s="2">
        <v>49785.56</v>
      </c>
      <c r="M59" s="2">
        <v>26723.21</v>
      </c>
      <c r="N59" s="2">
        <v>4378.79</v>
      </c>
      <c r="O59" s="2">
        <v>22344.42</v>
      </c>
      <c r="P59" s="3">
        <v>29.21</v>
      </c>
      <c r="Q59" s="2">
        <v>866869.2</v>
      </c>
      <c r="R59" s="2">
        <v>356547.24</v>
      </c>
      <c r="S59" s="2">
        <v>510321.96</v>
      </c>
      <c r="T59" s="2">
        <v>9989.31</v>
      </c>
      <c r="U59" s="2">
        <v>-28160.02</v>
      </c>
      <c r="V59" s="2">
        <v>-19642.169999999998</v>
      </c>
      <c r="W59" s="2">
        <v>-37812.879999999997</v>
      </c>
    </row>
    <row r="60" spans="1:23" ht="15.75" customHeight="1">
      <c r="A60">
        <v>283</v>
      </c>
      <c r="B60" s="1">
        <v>44399</v>
      </c>
      <c r="C60" t="s">
        <v>23</v>
      </c>
      <c r="D60">
        <v>3</v>
      </c>
      <c r="E60" t="s">
        <v>49</v>
      </c>
      <c r="F60">
        <v>7</v>
      </c>
      <c r="G60" t="s">
        <v>37</v>
      </c>
      <c r="H60" t="s">
        <v>26</v>
      </c>
      <c r="I60" t="s">
        <v>27</v>
      </c>
      <c r="J60" t="s">
        <v>37</v>
      </c>
      <c r="K60" s="2">
        <v>105479.81</v>
      </c>
      <c r="L60" s="2">
        <v>71185</v>
      </c>
      <c r="M60" s="2">
        <v>34294.81</v>
      </c>
      <c r="N60" s="2">
        <v>4174.0200000000004</v>
      </c>
      <c r="O60" s="2">
        <v>30120.79</v>
      </c>
      <c r="P60" s="3">
        <v>28.56</v>
      </c>
      <c r="Q60" s="2">
        <v>759794.72</v>
      </c>
      <c r="R60" s="2">
        <v>308790.56</v>
      </c>
      <c r="S60" s="2">
        <v>451004.15999999997</v>
      </c>
      <c r="T60" s="2">
        <v>18857.060000000001</v>
      </c>
      <c r="U60" s="2">
        <v>-48044.61</v>
      </c>
      <c r="V60" s="2">
        <v>55986.28</v>
      </c>
      <c r="W60" s="2">
        <v>26798.73</v>
      </c>
    </row>
    <row r="61" spans="1:23" ht="15.75" customHeight="1">
      <c r="A61">
        <v>82</v>
      </c>
      <c r="B61" s="1">
        <v>44402</v>
      </c>
      <c r="C61" t="s">
        <v>23</v>
      </c>
      <c r="D61">
        <v>3</v>
      </c>
      <c r="E61" t="s">
        <v>49</v>
      </c>
      <c r="F61">
        <v>7</v>
      </c>
      <c r="G61" t="s">
        <v>40</v>
      </c>
      <c r="H61" t="s">
        <v>30</v>
      </c>
      <c r="I61" t="s">
        <v>31</v>
      </c>
      <c r="J61" t="s">
        <v>37</v>
      </c>
      <c r="K61" s="2">
        <v>54935.59</v>
      </c>
      <c r="L61" s="2">
        <v>26430.41</v>
      </c>
      <c r="M61" s="2">
        <v>28505.18</v>
      </c>
      <c r="N61" s="2">
        <v>3862.27</v>
      </c>
      <c r="O61" s="2">
        <v>24642.91</v>
      </c>
      <c r="P61" s="3">
        <v>44.86</v>
      </c>
      <c r="Q61" s="2">
        <v>3019299.41</v>
      </c>
      <c r="R61" s="2">
        <v>894731.77</v>
      </c>
      <c r="S61" s="2">
        <v>2124567.64</v>
      </c>
      <c r="T61" s="2">
        <v>24778.54</v>
      </c>
      <c r="U61" s="2">
        <v>-69092.759999999995</v>
      </c>
      <c r="V61" s="2">
        <v>41867.94</v>
      </c>
      <c r="W61" s="2">
        <v>-2446.2800000000002</v>
      </c>
    </row>
    <row r="62" spans="1:23" ht="15.75" customHeight="1">
      <c r="A62">
        <v>175</v>
      </c>
      <c r="B62" s="1">
        <v>44403</v>
      </c>
      <c r="C62" t="s">
        <v>23</v>
      </c>
      <c r="D62">
        <v>3</v>
      </c>
      <c r="E62" t="s">
        <v>49</v>
      </c>
      <c r="F62">
        <v>7</v>
      </c>
      <c r="G62" t="s">
        <v>29</v>
      </c>
      <c r="H62" t="s">
        <v>36</v>
      </c>
      <c r="I62" t="s">
        <v>31</v>
      </c>
      <c r="J62" t="s">
        <v>39</v>
      </c>
      <c r="K62" s="2">
        <v>50723.01</v>
      </c>
      <c r="L62" s="2">
        <v>39376.949999999997</v>
      </c>
      <c r="M62" s="2">
        <v>11346.06</v>
      </c>
      <c r="N62" s="2">
        <v>1732.24</v>
      </c>
      <c r="O62" s="2">
        <v>9613.82</v>
      </c>
      <c r="P62" s="3">
        <v>18.95</v>
      </c>
      <c r="Q62" s="2">
        <v>1230050.33</v>
      </c>
      <c r="R62" s="2">
        <v>313715.74</v>
      </c>
      <c r="S62" s="2">
        <v>916334.59</v>
      </c>
      <c r="T62" s="2">
        <v>24394.27</v>
      </c>
      <c r="U62" s="2">
        <v>-17260.04</v>
      </c>
      <c r="V62" s="2">
        <v>31935.360000000001</v>
      </c>
      <c r="W62" s="2">
        <v>39069.589999999997</v>
      </c>
    </row>
    <row r="63" spans="1:23" ht="15.75" customHeight="1">
      <c r="A63">
        <v>350</v>
      </c>
      <c r="B63" s="1">
        <v>44404</v>
      </c>
      <c r="C63" t="s">
        <v>23</v>
      </c>
      <c r="D63">
        <v>3</v>
      </c>
      <c r="E63" t="s">
        <v>49</v>
      </c>
      <c r="F63">
        <v>7</v>
      </c>
      <c r="G63" t="s">
        <v>43</v>
      </c>
      <c r="H63" t="s">
        <v>34</v>
      </c>
      <c r="I63" t="s">
        <v>38</v>
      </c>
      <c r="J63" t="s">
        <v>39</v>
      </c>
      <c r="K63" s="2">
        <v>118546.97</v>
      </c>
      <c r="L63" s="2">
        <v>82273.64</v>
      </c>
      <c r="M63" s="2">
        <v>36273.33</v>
      </c>
      <c r="N63" s="2">
        <v>7144.68</v>
      </c>
      <c r="O63" s="2">
        <v>29128.65</v>
      </c>
      <c r="P63" s="3">
        <v>24.57</v>
      </c>
      <c r="Q63" s="2">
        <v>1041744.1</v>
      </c>
      <c r="R63" s="2">
        <v>651519.17000000004</v>
      </c>
      <c r="S63" s="2">
        <v>390224.93</v>
      </c>
      <c r="T63" s="2">
        <v>13623.31</v>
      </c>
      <c r="U63" s="2">
        <v>-7724.66</v>
      </c>
      <c r="V63" s="2">
        <v>-17732.39</v>
      </c>
      <c r="W63" s="2">
        <v>-11833.74</v>
      </c>
    </row>
    <row r="64" spans="1:23" ht="15.75" customHeight="1">
      <c r="A64">
        <v>117</v>
      </c>
      <c r="B64" s="1">
        <v>44413</v>
      </c>
      <c r="C64" t="s">
        <v>23</v>
      </c>
      <c r="D64">
        <v>3</v>
      </c>
      <c r="E64" t="s">
        <v>50</v>
      </c>
      <c r="F64">
        <v>8</v>
      </c>
      <c r="G64" t="s">
        <v>43</v>
      </c>
      <c r="H64" t="s">
        <v>36</v>
      </c>
      <c r="I64" t="s">
        <v>38</v>
      </c>
      <c r="J64" t="s">
        <v>41</v>
      </c>
      <c r="K64" s="2">
        <v>107500.33</v>
      </c>
      <c r="L64" s="2">
        <v>71481.789999999994</v>
      </c>
      <c r="M64" s="2">
        <v>36018.54</v>
      </c>
      <c r="N64" s="2">
        <v>3430.28</v>
      </c>
      <c r="O64" s="2">
        <v>32588.26</v>
      </c>
      <c r="P64" s="3">
        <v>30.31</v>
      </c>
      <c r="Q64" s="2">
        <v>3729361.04</v>
      </c>
      <c r="R64" s="2">
        <v>1528896.62</v>
      </c>
      <c r="S64" s="2">
        <v>2200464.42</v>
      </c>
      <c r="T64" s="2">
        <v>80726.28</v>
      </c>
      <c r="U64" s="2">
        <v>12317.4</v>
      </c>
      <c r="V64" s="2">
        <v>12248.1</v>
      </c>
      <c r="W64" s="2">
        <v>105291.78</v>
      </c>
    </row>
    <row r="65" spans="1:23" ht="15.75" customHeight="1">
      <c r="A65">
        <v>265</v>
      </c>
      <c r="B65" s="1">
        <v>44416</v>
      </c>
      <c r="C65" t="s">
        <v>23</v>
      </c>
      <c r="D65">
        <v>3</v>
      </c>
      <c r="E65" t="s">
        <v>50</v>
      </c>
      <c r="F65">
        <v>8</v>
      </c>
      <c r="G65" t="s">
        <v>40</v>
      </c>
      <c r="H65" t="s">
        <v>36</v>
      </c>
      <c r="I65" t="s">
        <v>38</v>
      </c>
      <c r="J65" t="s">
        <v>37</v>
      </c>
      <c r="K65" s="2">
        <v>78711.25</v>
      </c>
      <c r="L65" s="2">
        <v>46999.79</v>
      </c>
      <c r="M65" s="2">
        <v>31711.46</v>
      </c>
      <c r="N65" s="2">
        <v>3961.62</v>
      </c>
      <c r="O65" s="2">
        <v>27749.84</v>
      </c>
      <c r="P65" s="3">
        <v>35.26</v>
      </c>
      <c r="Q65" s="2">
        <v>1423998.22</v>
      </c>
      <c r="R65" s="2">
        <v>631138.62</v>
      </c>
      <c r="S65" s="2">
        <v>792859.6</v>
      </c>
      <c r="T65" s="2">
        <v>19232.54</v>
      </c>
      <c r="U65" s="2">
        <v>-41253.83</v>
      </c>
      <c r="V65" s="2">
        <v>25675.61</v>
      </c>
      <c r="W65" s="2">
        <v>3654.32</v>
      </c>
    </row>
    <row r="66" spans="1:23" ht="15.75" customHeight="1">
      <c r="A66">
        <v>408</v>
      </c>
      <c r="B66" s="1">
        <v>44422</v>
      </c>
      <c r="C66" t="s">
        <v>23</v>
      </c>
      <c r="D66">
        <v>3</v>
      </c>
      <c r="E66" t="s">
        <v>50</v>
      </c>
      <c r="F66">
        <v>8</v>
      </c>
      <c r="G66" t="s">
        <v>29</v>
      </c>
      <c r="H66" t="s">
        <v>36</v>
      </c>
      <c r="I66" t="s">
        <v>27</v>
      </c>
      <c r="J66" t="s">
        <v>41</v>
      </c>
      <c r="K66" s="2">
        <v>122180.11</v>
      </c>
      <c r="L66" s="2">
        <v>91525.87</v>
      </c>
      <c r="M66" s="2">
        <v>30654.240000000002</v>
      </c>
      <c r="N66" s="2">
        <v>5639.76</v>
      </c>
      <c r="O66" s="2">
        <v>25014.48</v>
      </c>
      <c r="P66" s="3">
        <v>20.47</v>
      </c>
      <c r="Q66" s="2">
        <v>1830864.03</v>
      </c>
      <c r="R66" s="2">
        <v>645008.79</v>
      </c>
      <c r="S66" s="2">
        <v>1185855.24</v>
      </c>
      <c r="T66" s="2">
        <v>21208.16</v>
      </c>
      <c r="U66" s="2">
        <v>-53537.95</v>
      </c>
      <c r="V66" s="2">
        <v>-21882.81</v>
      </c>
      <c r="W66" s="2">
        <v>-54212.6</v>
      </c>
    </row>
    <row r="67" spans="1:23" ht="15.75" customHeight="1">
      <c r="A67">
        <v>401</v>
      </c>
      <c r="B67" s="1">
        <v>44426</v>
      </c>
      <c r="C67" t="s">
        <v>23</v>
      </c>
      <c r="D67">
        <v>3</v>
      </c>
      <c r="E67" t="s">
        <v>50</v>
      </c>
      <c r="F67">
        <v>8</v>
      </c>
      <c r="G67" t="s">
        <v>40</v>
      </c>
      <c r="H67" t="s">
        <v>26</v>
      </c>
      <c r="I67" t="s">
        <v>31</v>
      </c>
      <c r="J67" t="s">
        <v>37</v>
      </c>
      <c r="K67" s="2">
        <v>82678.63</v>
      </c>
      <c r="L67" s="2">
        <v>53170.400000000001</v>
      </c>
      <c r="M67" s="2">
        <v>29508.23</v>
      </c>
      <c r="N67" s="2">
        <v>2701.64</v>
      </c>
      <c r="O67" s="2">
        <v>26806.59</v>
      </c>
      <c r="P67" s="3">
        <v>32.42</v>
      </c>
      <c r="Q67" s="2">
        <v>1315515.02</v>
      </c>
      <c r="R67" s="2">
        <v>832561.55</v>
      </c>
      <c r="S67" s="2">
        <v>482953.47</v>
      </c>
      <c r="T67" s="2">
        <v>68017.63</v>
      </c>
      <c r="U67" s="2">
        <v>-4772.49</v>
      </c>
      <c r="V67" s="2">
        <v>5964.46</v>
      </c>
      <c r="W67" s="2">
        <v>69209.600000000006</v>
      </c>
    </row>
    <row r="68" spans="1:23" ht="15.75" customHeight="1">
      <c r="A68">
        <v>191</v>
      </c>
      <c r="B68" s="1">
        <v>44427</v>
      </c>
      <c r="C68" t="s">
        <v>23</v>
      </c>
      <c r="D68">
        <v>3</v>
      </c>
      <c r="E68" t="s">
        <v>50</v>
      </c>
      <c r="F68">
        <v>8</v>
      </c>
      <c r="G68" t="s">
        <v>25</v>
      </c>
      <c r="H68" t="s">
        <v>26</v>
      </c>
      <c r="I68" t="s">
        <v>27</v>
      </c>
      <c r="J68" t="s">
        <v>39</v>
      </c>
      <c r="K68" s="2">
        <v>98514.71</v>
      </c>
      <c r="L68" s="2">
        <v>65869</v>
      </c>
      <c r="M68" s="2">
        <v>32645.71</v>
      </c>
      <c r="N68" s="2">
        <v>5591.93</v>
      </c>
      <c r="O68" s="2">
        <v>27053.78</v>
      </c>
      <c r="P68" s="3">
        <v>27.46</v>
      </c>
      <c r="Q68" s="2">
        <v>4343611.99</v>
      </c>
      <c r="R68" s="2">
        <v>1171901.05</v>
      </c>
      <c r="S68" s="2">
        <v>3171710.94</v>
      </c>
      <c r="T68" s="2">
        <v>63719.15</v>
      </c>
      <c r="U68" s="2">
        <v>14392.46</v>
      </c>
      <c r="V68" s="2">
        <v>-11509.2</v>
      </c>
      <c r="W68" s="2">
        <v>66602.41</v>
      </c>
    </row>
    <row r="69" spans="1:23" ht="15.75" customHeight="1">
      <c r="A69">
        <v>142</v>
      </c>
      <c r="B69" s="1">
        <v>44427</v>
      </c>
      <c r="C69" t="s">
        <v>23</v>
      </c>
      <c r="D69">
        <v>3</v>
      </c>
      <c r="E69" t="s">
        <v>50</v>
      </c>
      <c r="F69">
        <v>8</v>
      </c>
      <c r="G69" t="s">
        <v>25</v>
      </c>
      <c r="H69" t="s">
        <v>34</v>
      </c>
      <c r="I69" t="s">
        <v>27</v>
      </c>
      <c r="J69" t="s">
        <v>32</v>
      </c>
      <c r="K69" s="2">
        <v>84884.08</v>
      </c>
      <c r="L69" s="2">
        <v>52334.94</v>
      </c>
      <c r="M69" s="2">
        <v>32549.14</v>
      </c>
      <c r="N69" s="2">
        <v>3859.81</v>
      </c>
      <c r="O69" s="2">
        <v>28689.33</v>
      </c>
      <c r="P69" s="3">
        <v>33.799999999999997</v>
      </c>
      <c r="Q69" s="2">
        <v>4502259.12</v>
      </c>
      <c r="R69" s="2">
        <v>1937087.36</v>
      </c>
      <c r="S69" s="2">
        <v>2565171.7599999998</v>
      </c>
      <c r="T69" s="2">
        <v>69286.09</v>
      </c>
      <c r="U69" s="2">
        <v>-59430.65</v>
      </c>
      <c r="V69" s="2">
        <v>58827.53</v>
      </c>
      <c r="W69" s="2">
        <v>68682.97</v>
      </c>
    </row>
    <row r="70" spans="1:23" ht="15.75" customHeight="1">
      <c r="A70">
        <v>68</v>
      </c>
      <c r="B70" s="1">
        <v>44438</v>
      </c>
      <c r="C70" t="s">
        <v>23</v>
      </c>
      <c r="D70">
        <v>3</v>
      </c>
      <c r="E70" t="s">
        <v>50</v>
      </c>
      <c r="F70">
        <v>8</v>
      </c>
      <c r="G70" t="s">
        <v>37</v>
      </c>
      <c r="H70" t="s">
        <v>26</v>
      </c>
      <c r="I70" t="s">
        <v>38</v>
      </c>
      <c r="J70" t="s">
        <v>29</v>
      </c>
      <c r="K70" s="2">
        <v>33506.81</v>
      </c>
      <c r="L70" s="2">
        <v>20720.72</v>
      </c>
      <c r="M70" s="2">
        <v>12786.09</v>
      </c>
      <c r="N70" s="2">
        <v>2158.4699999999998</v>
      </c>
      <c r="O70" s="2">
        <v>10627.62</v>
      </c>
      <c r="P70" s="3">
        <v>31.72</v>
      </c>
      <c r="Q70" s="2">
        <v>3400459.93</v>
      </c>
      <c r="R70" s="2">
        <v>1734462.19</v>
      </c>
      <c r="S70" s="2">
        <v>1665997.74</v>
      </c>
      <c r="T70" s="2">
        <v>9803.4</v>
      </c>
      <c r="U70" s="2">
        <v>-13932.28</v>
      </c>
      <c r="V70" s="2">
        <v>8106.19</v>
      </c>
      <c r="W70" s="2">
        <v>3977.31</v>
      </c>
    </row>
    <row r="71" spans="1:23" ht="15.75" customHeight="1">
      <c r="A71">
        <v>474</v>
      </c>
      <c r="B71" s="1">
        <v>44442</v>
      </c>
      <c r="C71" t="s">
        <v>23</v>
      </c>
      <c r="D71">
        <v>3</v>
      </c>
      <c r="E71" t="s">
        <v>51</v>
      </c>
      <c r="F71">
        <v>9</v>
      </c>
      <c r="G71" t="s">
        <v>37</v>
      </c>
      <c r="H71" t="s">
        <v>26</v>
      </c>
      <c r="I71" t="s">
        <v>27</v>
      </c>
      <c r="J71" t="s">
        <v>41</v>
      </c>
      <c r="K71" s="2">
        <v>68828.649999999994</v>
      </c>
      <c r="L71" s="2">
        <v>38727.230000000003</v>
      </c>
      <c r="M71" s="2">
        <v>30101.42</v>
      </c>
      <c r="N71" s="2">
        <v>7438.09</v>
      </c>
      <c r="O71" s="2">
        <v>22663.33</v>
      </c>
      <c r="P71" s="3">
        <v>32.93</v>
      </c>
      <c r="Q71" s="2">
        <v>3392498.36</v>
      </c>
      <c r="R71" s="2">
        <v>1822010.67</v>
      </c>
      <c r="S71" s="2">
        <v>1570487.69</v>
      </c>
      <c r="T71" s="2">
        <v>70792.740000000005</v>
      </c>
      <c r="U71" s="2">
        <v>-32279.82</v>
      </c>
      <c r="V71" s="2">
        <v>40184.019999999997</v>
      </c>
      <c r="W71" s="2">
        <v>78696.94</v>
      </c>
    </row>
    <row r="72" spans="1:23" ht="15.75" customHeight="1">
      <c r="A72">
        <v>583</v>
      </c>
      <c r="B72" s="1">
        <v>44443</v>
      </c>
      <c r="C72" t="s">
        <v>23</v>
      </c>
      <c r="D72">
        <v>3</v>
      </c>
      <c r="E72" t="s">
        <v>51</v>
      </c>
      <c r="F72">
        <v>9</v>
      </c>
      <c r="G72" t="s">
        <v>29</v>
      </c>
      <c r="H72" t="s">
        <v>26</v>
      </c>
      <c r="I72" t="s">
        <v>27</v>
      </c>
      <c r="J72" t="s">
        <v>29</v>
      </c>
      <c r="K72" s="2">
        <v>156534.01999999999</v>
      </c>
      <c r="L72" s="2">
        <v>121908.32</v>
      </c>
      <c r="M72" s="2">
        <v>34625.699999999997</v>
      </c>
      <c r="N72" s="2">
        <v>5618.18</v>
      </c>
      <c r="O72" s="2">
        <v>29007.52</v>
      </c>
      <c r="P72" s="3">
        <v>18.53</v>
      </c>
      <c r="Q72" s="2">
        <v>3777901.19</v>
      </c>
      <c r="R72" s="2">
        <v>1422688.95</v>
      </c>
      <c r="S72" s="2">
        <v>2355212.2400000002</v>
      </c>
      <c r="T72" s="2">
        <v>26382.43</v>
      </c>
      <c r="U72" s="2">
        <v>-50553.65</v>
      </c>
      <c r="V72" s="2">
        <v>16194.81</v>
      </c>
      <c r="W72" s="2">
        <v>-7976.41</v>
      </c>
    </row>
    <row r="73" spans="1:23" ht="15.75" customHeight="1">
      <c r="A73">
        <v>280</v>
      </c>
      <c r="B73" s="1">
        <v>44443</v>
      </c>
      <c r="C73" t="s">
        <v>23</v>
      </c>
      <c r="D73">
        <v>3</v>
      </c>
      <c r="E73" t="s">
        <v>51</v>
      </c>
      <c r="F73">
        <v>9</v>
      </c>
      <c r="G73" t="s">
        <v>40</v>
      </c>
      <c r="H73" t="s">
        <v>26</v>
      </c>
      <c r="I73" t="s">
        <v>38</v>
      </c>
      <c r="J73" t="s">
        <v>39</v>
      </c>
      <c r="K73" s="2">
        <v>37034.32</v>
      </c>
      <c r="L73" s="2">
        <v>28023.22</v>
      </c>
      <c r="M73" s="2">
        <v>9011.1</v>
      </c>
      <c r="N73" s="2">
        <v>1255.3499999999999</v>
      </c>
      <c r="O73" s="2">
        <v>7755.75</v>
      </c>
      <c r="P73" s="3">
        <v>20.94</v>
      </c>
      <c r="Q73" s="2">
        <v>2847197.28</v>
      </c>
      <c r="R73" s="2">
        <v>1616622.25</v>
      </c>
      <c r="S73" s="2">
        <v>1230575.03</v>
      </c>
      <c r="T73" s="2">
        <v>48505.87</v>
      </c>
      <c r="U73" s="2">
        <v>-35521.86</v>
      </c>
      <c r="V73" s="2">
        <v>6184.35</v>
      </c>
      <c r="W73" s="2">
        <v>19168.36</v>
      </c>
    </row>
    <row r="74" spans="1:23" ht="15.75" customHeight="1">
      <c r="A74">
        <v>447</v>
      </c>
      <c r="B74" s="1">
        <v>44449</v>
      </c>
      <c r="C74" t="s">
        <v>23</v>
      </c>
      <c r="D74">
        <v>3</v>
      </c>
      <c r="E74" t="s">
        <v>51</v>
      </c>
      <c r="F74">
        <v>9</v>
      </c>
      <c r="G74" t="s">
        <v>29</v>
      </c>
      <c r="H74" t="s">
        <v>36</v>
      </c>
      <c r="I74" t="s">
        <v>35</v>
      </c>
      <c r="J74" t="s">
        <v>32</v>
      </c>
      <c r="K74" s="2">
        <v>161538.75</v>
      </c>
      <c r="L74" s="2">
        <v>75657.350000000006</v>
      </c>
      <c r="M74" s="2">
        <v>85881.4</v>
      </c>
      <c r="N74" s="2">
        <v>10623.59</v>
      </c>
      <c r="O74" s="2">
        <v>75257.81</v>
      </c>
      <c r="P74" s="3">
        <v>46.59</v>
      </c>
      <c r="Q74" s="2">
        <v>2592663.5</v>
      </c>
      <c r="R74" s="2">
        <v>883557.46</v>
      </c>
      <c r="S74" s="2">
        <v>1709106.04</v>
      </c>
      <c r="T74" s="2">
        <v>104770.22</v>
      </c>
      <c r="U74" s="2">
        <v>21920.799999999999</v>
      </c>
      <c r="V74" s="2">
        <v>2377.0100000000002</v>
      </c>
      <c r="W74" s="2">
        <v>129068.03</v>
      </c>
    </row>
    <row r="75" spans="1:23" ht="15.75" customHeight="1">
      <c r="A75">
        <v>36</v>
      </c>
      <c r="B75" s="1">
        <v>44449</v>
      </c>
      <c r="C75" t="s">
        <v>23</v>
      </c>
      <c r="D75">
        <v>3</v>
      </c>
      <c r="E75" t="s">
        <v>51</v>
      </c>
      <c r="F75">
        <v>9</v>
      </c>
      <c r="G75" t="s">
        <v>43</v>
      </c>
      <c r="H75" t="s">
        <v>36</v>
      </c>
      <c r="I75" t="s">
        <v>27</v>
      </c>
      <c r="J75" t="s">
        <v>29</v>
      </c>
      <c r="K75" s="2">
        <v>115091.92</v>
      </c>
      <c r="L75" s="2">
        <v>58364.75</v>
      </c>
      <c r="M75" s="2">
        <v>56727.17</v>
      </c>
      <c r="N75" s="2">
        <v>9178.11</v>
      </c>
      <c r="O75" s="2">
        <v>47549.06</v>
      </c>
      <c r="P75" s="3">
        <v>41.31</v>
      </c>
      <c r="Q75" s="2">
        <v>2896652.45</v>
      </c>
      <c r="R75" s="2">
        <v>784209.02</v>
      </c>
      <c r="S75" s="2">
        <v>2112443.4300000002</v>
      </c>
      <c r="T75" s="2">
        <v>44477.4</v>
      </c>
      <c r="U75" s="2">
        <v>-56558.53</v>
      </c>
      <c r="V75" s="2">
        <v>-33662.5</v>
      </c>
      <c r="W75" s="2">
        <v>-45743.63</v>
      </c>
    </row>
    <row r="76" spans="1:23" ht="15.75" customHeight="1">
      <c r="A76">
        <v>339</v>
      </c>
      <c r="B76" s="1">
        <v>44450</v>
      </c>
      <c r="C76" t="s">
        <v>23</v>
      </c>
      <c r="D76">
        <v>3</v>
      </c>
      <c r="E76" t="s">
        <v>51</v>
      </c>
      <c r="F76">
        <v>9</v>
      </c>
      <c r="G76" t="s">
        <v>40</v>
      </c>
      <c r="H76" t="s">
        <v>30</v>
      </c>
      <c r="I76" t="s">
        <v>27</v>
      </c>
      <c r="J76" t="s">
        <v>32</v>
      </c>
      <c r="K76" s="2">
        <v>114037.7</v>
      </c>
      <c r="L76" s="2">
        <v>57134.89</v>
      </c>
      <c r="M76" s="2">
        <v>56902.81</v>
      </c>
      <c r="N76" s="2">
        <v>11214.95</v>
      </c>
      <c r="O76" s="2">
        <v>45687.86</v>
      </c>
      <c r="P76" s="3">
        <v>40.06</v>
      </c>
      <c r="Q76" s="2">
        <v>4539846.05</v>
      </c>
      <c r="R76" s="2">
        <v>2488161.59</v>
      </c>
      <c r="S76" s="2">
        <v>2051684.46</v>
      </c>
      <c r="T76" s="2">
        <v>21803.05</v>
      </c>
      <c r="U76" s="2">
        <v>19588.419999999998</v>
      </c>
      <c r="V76" s="2">
        <v>39392.94</v>
      </c>
      <c r="W76" s="2">
        <v>80784.41</v>
      </c>
    </row>
    <row r="77" spans="1:23" ht="15.75" customHeight="1">
      <c r="A77">
        <v>363</v>
      </c>
      <c r="B77" s="1">
        <v>44450</v>
      </c>
      <c r="C77" t="s">
        <v>23</v>
      </c>
      <c r="D77">
        <v>3</v>
      </c>
      <c r="E77" t="s">
        <v>51</v>
      </c>
      <c r="F77">
        <v>9</v>
      </c>
      <c r="G77" t="s">
        <v>29</v>
      </c>
      <c r="H77" t="s">
        <v>30</v>
      </c>
      <c r="I77" t="s">
        <v>38</v>
      </c>
      <c r="J77" t="s">
        <v>41</v>
      </c>
      <c r="K77" s="2">
        <v>55226.39</v>
      </c>
      <c r="L77" s="2">
        <v>38176.589999999997</v>
      </c>
      <c r="M77" s="2">
        <v>17049.8</v>
      </c>
      <c r="N77" s="2">
        <v>3627.45</v>
      </c>
      <c r="O77" s="2">
        <v>13422.35</v>
      </c>
      <c r="P77" s="3">
        <v>24.3</v>
      </c>
      <c r="Q77" s="2">
        <v>4061585.93</v>
      </c>
      <c r="R77" s="2">
        <v>1994189.68</v>
      </c>
      <c r="S77" s="2">
        <v>2067396.25</v>
      </c>
      <c r="T77" s="2">
        <v>24353.439999999999</v>
      </c>
      <c r="U77" s="2">
        <v>-63899.29</v>
      </c>
      <c r="V77" s="2">
        <v>-11216.87</v>
      </c>
      <c r="W77" s="2">
        <v>-50762.720000000001</v>
      </c>
    </row>
    <row r="78" spans="1:23" ht="15.75" customHeight="1">
      <c r="A78">
        <v>328</v>
      </c>
      <c r="B78" s="1">
        <v>44459</v>
      </c>
      <c r="C78" t="s">
        <v>23</v>
      </c>
      <c r="D78">
        <v>3</v>
      </c>
      <c r="E78" t="s">
        <v>51</v>
      </c>
      <c r="F78">
        <v>9</v>
      </c>
      <c r="G78" t="s">
        <v>37</v>
      </c>
      <c r="H78" t="s">
        <v>34</v>
      </c>
      <c r="I78" t="s">
        <v>31</v>
      </c>
      <c r="J78" t="s">
        <v>41</v>
      </c>
      <c r="K78" s="2">
        <v>119776.86</v>
      </c>
      <c r="L78" s="2">
        <v>83968.97</v>
      </c>
      <c r="M78" s="2">
        <v>35807.89</v>
      </c>
      <c r="N78" s="2">
        <v>4797.66</v>
      </c>
      <c r="O78" s="2">
        <v>31010.23</v>
      </c>
      <c r="P78" s="3">
        <v>25.89</v>
      </c>
      <c r="Q78" s="2">
        <v>4316491.5599999996</v>
      </c>
      <c r="R78" s="2">
        <v>2714488.67</v>
      </c>
      <c r="S78" s="2">
        <v>1602002.89</v>
      </c>
      <c r="T78" s="2">
        <v>71798.64</v>
      </c>
      <c r="U78" s="2">
        <v>3906.7</v>
      </c>
      <c r="V78" s="2">
        <v>-12253.53</v>
      </c>
      <c r="W78" s="2">
        <v>63451.81</v>
      </c>
    </row>
    <row r="79" spans="1:23" ht="15.75" customHeight="1">
      <c r="A79">
        <v>524</v>
      </c>
      <c r="B79" s="1">
        <v>44460</v>
      </c>
      <c r="C79" t="s">
        <v>23</v>
      </c>
      <c r="D79">
        <v>3</v>
      </c>
      <c r="E79" t="s">
        <v>51</v>
      </c>
      <c r="F79">
        <v>9</v>
      </c>
      <c r="G79" t="s">
        <v>25</v>
      </c>
      <c r="H79" t="s">
        <v>26</v>
      </c>
      <c r="I79" t="s">
        <v>35</v>
      </c>
      <c r="J79" t="s">
        <v>28</v>
      </c>
      <c r="K79" s="2">
        <v>55483.42</v>
      </c>
      <c r="L79" s="2">
        <v>44414.53</v>
      </c>
      <c r="M79" s="2">
        <v>11068.89</v>
      </c>
      <c r="N79" s="2">
        <v>1272.43</v>
      </c>
      <c r="O79" s="2">
        <v>9796.4599999999991</v>
      </c>
      <c r="P79" s="3">
        <v>17.66</v>
      </c>
      <c r="Q79" s="2">
        <v>3261574.34</v>
      </c>
      <c r="R79" s="2">
        <v>1106438.6499999999</v>
      </c>
      <c r="S79" s="2">
        <v>2155135.69</v>
      </c>
      <c r="T79" s="2">
        <v>23449.95</v>
      </c>
      <c r="U79" s="2">
        <v>-1602.49</v>
      </c>
      <c r="V79" s="2">
        <v>-20977.21</v>
      </c>
      <c r="W79" s="2">
        <v>870.25</v>
      </c>
    </row>
    <row r="80" spans="1:23" ht="15.75" customHeight="1">
      <c r="A80">
        <v>542</v>
      </c>
      <c r="B80" s="1">
        <v>44465</v>
      </c>
      <c r="C80" t="s">
        <v>23</v>
      </c>
      <c r="D80">
        <v>3</v>
      </c>
      <c r="E80" t="s">
        <v>51</v>
      </c>
      <c r="F80">
        <v>9</v>
      </c>
      <c r="G80" t="s">
        <v>43</v>
      </c>
      <c r="H80" t="s">
        <v>30</v>
      </c>
      <c r="I80" t="s">
        <v>31</v>
      </c>
      <c r="J80" t="s">
        <v>39</v>
      </c>
      <c r="K80" s="2">
        <v>136491.59</v>
      </c>
      <c r="L80" s="2">
        <v>92669.11</v>
      </c>
      <c r="M80" s="2">
        <v>43822.48</v>
      </c>
      <c r="N80" s="2">
        <v>4114.3</v>
      </c>
      <c r="O80" s="2">
        <v>39708.18</v>
      </c>
      <c r="P80" s="3">
        <v>29.09</v>
      </c>
      <c r="Q80" s="2">
        <v>1479762.04</v>
      </c>
      <c r="R80" s="2">
        <v>518118.12</v>
      </c>
      <c r="S80" s="2">
        <v>961643.92</v>
      </c>
      <c r="T80" s="2">
        <v>76246.149999999994</v>
      </c>
      <c r="U80" s="2">
        <v>-23680.06</v>
      </c>
      <c r="V80" s="2">
        <v>8682.82</v>
      </c>
      <c r="W80" s="2">
        <v>61248.91</v>
      </c>
    </row>
    <row r="81" spans="1:23" ht="15.75" customHeight="1">
      <c r="A81">
        <v>100</v>
      </c>
      <c r="B81" s="1">
        <v>44466</v>
      </c>
      <c r="C81" t="s">
        <v>23</v>
      </c>
      <c r="D81">
        <v>3</v>
      </c>
      <c r="E81" t="s">
        <v>51</v>
      </c>
      <c r="F81">
        <v>9</v>
      </c>
      <c r="G81" t="s">
        <v>37</v>
      </c>
      <c r="H81" t="s">
        <v>26</v>
      </c>
      <c r="I81" t="s">
        <v>31</v>
      </c>
      <c r="J81" t="s">
        <v>41</v>
      </c>
      <c r="K81" s="2">
        <v>86304.85</v>
      </c>
      <c r="L81" s="2">
        <v>58194.48</v>
      </c>
      <c r="M81" s="2">
        <v>28110.37</v>
      </c>
      <c r="N81" s="2">
        <v>5105.21</v>
      </c>
      <c r="O81" s="2">
        <v>23005.16</v>
      </c>
      <c r="P81" s="3">
        <v>26.66</v>
      </c>
      <c r="Q81" s="2">
        <v>4068302.43</v>
      </c>
      <c r="R81" s="2">
        <v>2082986.04</v>
      </c>
      <c r="S81" s="2">
        <v>1985316.39</v>
      </c>
      <c r="T81" s="2">
        <v>72375.83</v>
      </c>
      <c r="U81" s="2">
        <v>-41614.550000000003</v>
      </c>
      <c r="V81" s="2">
        <v>-4084.9</v>
      </c>
      <c r="W81" s="2">
        <v>26676.38</v>
      </c>
    </row>
    <row r="82" spans="1:23" ht="15.75" customHeight="1">
      <c r="A82">
        <v>31</v>
      </c>
      <c r="B82" s="1">
        <v>44473</v>
      </c>
      <c r="C82" t="s">
        <v>23</v>
      </c>
      <c r="D82">
        <v>4</v>
      </c>
      <c r="E82" t="s">
        <v>52</v>
      </c>
      <c r="F82">
        <v>10</v>
      </c>
      <c r="G82" t="s">
        <v>33</v>
      </c>
      <c r="H82" t="s">
        <v>34</v>
      </c>
      <c r="I82" t="s">
        <v>38</v>
      </c>
      <c r="J82" t="s">
        <v>29</v>
      </c>
      <c r="K82" s="2">
        <v>78153.66</v>
      </c>
      <c r="L82" s="2">
        <v>48874.87</v>
      </c>
      <c r="M82" s="2">
        <v>29278.79</v>
      </c>
      <c r="N82" s="2">
        <v>4109.8</v>
      </c>
      <c r="O82" s="2">
        <v>25168.99</v>
      </c>
      <c r="P82" s="3">
        <v>32.200000000000003</v>
      </c>
      <c r="Q82" s="2">
        <v>3419702.78</v>
      </c>
      <c r="R82" s="2">
        <v>1510936.99</v>
      </c>
      <c r="S82" s="2">
        <v>1908765.79</v>
      </c>
      <c r="T82" s="2">
        <v>41904.949999999997</v>
      </c>
      <c r="U82" s="2">
        <v>3682.25</v>
      </c>
      <c r="V82" s="2">
        <v>15774.23</v>
      </c>
      <c r="W82" s="2">
        <v>61361.43</v>
      </c>
    </row>
    <row r="83" spans="1:23" ht="15.75" customHeight="1">
      <c r="A83">
        <v>436</v>
      </c>
      <c r="B83" s="1">
        <v>44476</v>
      </c>
      <c r="C83" t="s">
        <v>23</v>
      </c>
      <c r="D83">
        <v>4</v>
      </c>
      <c r="E83" t="s">
        <v>52</v>
      </c>
      <c r="F83">
        <v>10</v>
      </c>
      <c r="G83" t="s">
        <v>43</v>
      </c>
      <c r="H83" t="s">
        <v>26</v>
      </c>
      <c r="I83" t="s">
        <v>38</v>
      </c>
      <c r="J83" t="s">
        <v>44</v>
      </c>
      <c r="K83" s="2">
        <v>93211.02</v>
      </c>
      <c r="L83" s="2">
        <v>58597.57</v>
      </c>
      <c r="M83" s="2">
        <v>34613.449999999997</v>
      </c>
      <c r="N83" s="2">
        <v>4018.23</v>
      </c>
      <c r="O83" s="2">
        <v>30595.22</v>
      </c>
      <c r="P83" s="3">
        <v>32.82</v>
      </c>
      <c r="Q83" s="2">
        <v>1020012.7</v>
      </c>
      <c r="R83" s="2">
        <v>596267.16</v>
      </c>
      <c r="S83" s="2">
        <v>423745.54</v>
      </c>
      <c r="T83" s="2">
        <v>40792.47</v>
      </c>
      <c r="U83" s="2">
        <v>-68561.88</v>
      </c>
      <c r="V83" s="2">
        <v>40298.129999999997</v>
      </c>
      <c r="W83" s="2">
        <v>12528.72</v>
      </c>
    </row>
    <row r="84" spans="1:23" ht="15.75" customHeight="1">
      <c r="A84">
        <v>289</v>
      </c>
      <c r="B84" s="1">
        <v>44476</v>
      </c>
      <c r="C84" t="s">
        <v>23</v>
      </c>
      <c r="D84">
        <v>4</v>
      </c>
      <c r="E84" t="s">
        <v>52</v>
      </c>
      <c r="F84">
        <v>10</v>
      </c>
      <c r="G84" t="s">
        <v>25</v>
      </c>
      <c r="H84" t="s">
        <v>30</v>
      </c>
      <c r="I84" t="s">
        <v>31</v>
      </c>
      <c r="J84" t="s">
        <v>41</v>
      </c>
      <c r="K84" s="2">
        <v>108972.95</v>
      </c>
      <c r="L84" s="2">
        <v>88070.23</v>
      </c>
      <c r="M84" s="2">
        <v>20902.72</v>
      </c>
      <c r="N84" s="2">
        <v>1908.75</v>
      </c>
      <c r="O84" s="2">
        <v>18993.97</v>
      </c>
      <c r="P84" s="3">
        <v>17.43</v>
      </c>
      <c r="Q84" s="2">
        <v>3417431.03</v>
      </c>
      <c r="R84" s="2">
        <v>955657.83</v>
      </c>
      <c r="S84" s="2">
        <v>2461773.2000000002</v>
      </c>
      <c r="T84" s="2">
        <v>19031.48</v>
      </c>
      <c r="U84" s="2">
        <v>10381.450000000001</v>
      </c>
      <c r="V84" s="2">
        <v>3347.22</v>
      </c>
      <c r="W84" s="2">
        <v>32760.15</v>
      </c>
    </row>
    <row r="85" spans="1:23" ht="15.75" customHeight="1">
      <c r="A85">
        <v>412</v>
      </c>
      <c r="B85" s="1">
        <v>44480</v>
      </c>
      <c r="C85" t="s">
        <v>23</v>
      </c>
      <c r="D85">
        <v>4</v>
      </c>
      <c r="E85" t="s">
        <v>52</v>
      </c>
      <c r="F85">
        <v>10</v>
      </c>
      <c r="G85" t="s">
        <v>43</v>
      </c>
      <c r="H85" t="s">
        <v>34</v>
      </c>
      <c r="I85" t="s">
        <v>27</v>
      </c>
      <c r="J85" t="s">
        <v>44</v>
      </c>
      <c r="K85" s="2">
        <v>33853.160000000003</v>
      </c>
      <c r="L85" s="2">
        <v>16957.830000000002</v>
      </c>
      <c r="M85" s="2">
        <v>16895.330000000002</v>
      </c>
      <c r="N85" s="2">
        <v>1354.3</v>
      </c>
      <c r="O85" s="2">
        <v>15541.03</v>
      </c>
      <c r="P85" s="3">
        <v>45.91</v>
      </c>
      <c r="Q85" s="2">
        <v>4564506.32</v>
      </c>
      <c r="R85" s="2">
        <v>1186074.1599999999</v>
      </c>
      <c r="S85" s="2">
        <v>3378432.16</v>
      </c>
      <c r="T85" s="2">
        <v>2297.4899999999998</v>
      </c>
      <c r="U85" s="2">
        <v>-28373.72</v>
      </c>
      <c r="V85" s="2">
        <v>-4342.87</v>
      </c>
      <c r="W85" s="2">
        <v>-30419.1</v>
      </c>
    </row>
    <row r="86" spans="1:23" ht="15.75" customHeight="1">
      <c r="A86">
        <v>138</v>
      </c>
      <c r="B86" s="1">
        <v>44485</v>
      </c>
      <c r="C86" t="s">
        <v>23</v>
      </c>
      <c r="D86">
        <v>4</v>
      </c>
      <c r="E86" t="s">
        <v>52</v>
      </c>
      <c r="F86">
        <v>10</v>
      </c>
      <c r="G86" t="s">
        <v>25</v>
      </c>
      <c r="H86" t="s">
        <v>26</v>
      </c>
      <c r="I86" t="s">
        <v>31</v>
      </c>
      <c r="J86" t="s">
        <v>29</v>
      </c>
      <c r="K86" s="2">
        <v>63529.94</v>
      </c>
      <c r="L86" s="2">
        <v>31733.67</v>
      </c>
      <c r="M86" s="2">
        <v>31796.27</v>
      </c>
      <c r="N86" s="2">
        <v>4806.28</v>
      </c>
      <c r="O86" s="2">
        <v>26989.99</v>
      </c>
      <c r="P86" s="3">
        <v>42.48</v>
      </c>
      <c r="Q86" s="2">
        <v>4056519.81</v>
      </c>
      <c r="R86" s="2">
        <v>1958728.28</v>
      </c>
      <c r="S86" s="2">
        <v>2097791.5299999998</v>
      </c>
      <c r="T86" s="2">
        <v>51467.98</v>
      </c>
      <c r="U86" s="2">
        <v>-51030.52</v>
      </c>
      <c r="V86" s="2">
        <v>21894.82</v>
      </c>
      <c r="W86" s="2">
        <v>22332.28</v>
      </c>
    </row>
    <row r="87" spans="1:23" ht="15.75" customHeight="1">
      <c r="A87">
        <v>288</v>
      </c>
      <c r="B87" s="1">
        <v>44490</v>
      </c>
      <c r="C87" t="s">
        <v>23</v>
      </c>
      <c r="D87">
        <v>4</v>
      </c>
      <c r="E87" t="s">
        <v>52</v>
      </c>
      <c r="F87">
        <v>10</v>
      </c>
      <c r="G87" t="s">
        <v>40</v>
      </c>
      <c r="H87" t="s">
        <v>36</v>
      </c>
      <c r="I87" t="s">
        <v>35</v>
      </c>
      <c r="J87" t="s">
        <v>37</v>
      </c>
      <c r="K87" s="2">
        <v>157520.97</v>
      </c>
      <c r="L87" s="2">
        <v>122322.46</v>
      </c>
      <c r="M87" s="2">
        <v>35198.51</v>
      </c>
      <c r="N87" s="2">
        <v>5606.16</v>
      </c>
      <c r="O87" s="2">
        <v>29592.35</v>
      </c>
      <c r="P87" s="3">
        <v>18.79</v>
      </c>
      <c r="Q87" s="2">
        <v>840648.77</v>
      </c>
      <c r="R87" s="2">
        <v>340572.4</v>
      </c>
      <c r="S87" s="2">
        <v>500076.37</v>
      </c>
      <c r="T87" s="2">
        <v>63875.360000000001</v>
      </c>
      <c r="U87" s="2">
        <v>20177.400000000001</v>
      </c>
      <c r="V87" s="2">
        <v>-19652.73</v>
      </c>
      <c r="W87" s="2">
        <v>64400.03</v>
      </c>
    </row>
    <row r="88" spans="1:23" ht="15.75" customHeight="1">
      <c r="A88">
        <v>109</v>
      </c>
      <c r="B88" s="1">
        <v>44492</v>
      </c>
      <c r="C88" t="s">
        <v>23</v>
      </c>
      <c r="D88">
        <v>4</v>
      </c>
      <c r="E88" t="s">
        <v>52</v>
      </c>
      <c r="F88">
        <v>10</v>
      </c>
      <c r="G88" t="s">
        <v>33</v>
      </c>
      <c r="H88" t="s">
        <v>34</v>
      </c>
      <c r="I88" t="s">
        <v>38</v>
      </c>
      <c r="J88" t="s">
        <v>32</v>
      </c>
      <c r="K88" s="2">
        <v>174318.76</v>
      </c>
      <c r="L88" s="2">
        <v>94910.19</v>
      </c>
      <c r="M88" s="2">
        <v>79408.570000000007</v>
      </c>
      <c r="N88" s="2">
        <v>15284.36</v>
      </c>
      <c r="O88" s="2">
        <v>64124.21</v>
      </c>
      <c r="P88" s="3">
        <v>36.79</v>
      </c>
      <c r="Q88" s="2">
        <v>4903840.79</v>
      </c>
      <c r="R88" s="2">
        <v>1960156.9</v>
      </c>
      <c r="S88" s="2">
        <v>2943683.89</v>
      </c>
      <c r="T88" s="2">
        <v>35525.49</v>
      </c>
      <c r="U88" s="2">
        <v>-45585.27</v>
      </c>
      <c r="V88" s="2">
        <v>43087.72</v>
      </c>
      <c r="W88" s="2">
        <v>33027.94</v>
      </c>
    </row>
    <row r="89" spans="1:23" ht="15.75" customHeight="1">
      <c r="A89">
        <v>439</v>
      </c>
      <c r="B89" s="1">
        <v>44498</v>
      </c>
      <c r="C89" t="s">
        <v>23</v>
      </c>
      <c r="D89">
        <v>4</v>
      </c>
      <c r="E89" t="s">
        <v>52</v>
      </c>
      <c r="F89">
        <v>10</v>
      </c>
      <c r="G89" t="s">
        <v>33</v>
      </c>
      <c r="H89" t="s">
        <v>34</v>
      </c>
      <c r="I89" t="s">
        <v>38</v>
      </c>
      <c r="J89" t="s">
        <v>39</v>
      </c>
      <c r="K89" s="2">
        <v>172813.05</v>
      </c>
      <c r="L89" s="2">
        <v>100293.96</v>
      </c>
      <c r="M89" s="2">
        <v>72519.09</v>
      </c>
      <c r="N89" s="2">
        <v>6332.88</v>
      </c>
      <c r="O89" s="2">
        <v>66186.210000000006</v>
      </c>
      <c r="P89" s="3">
        <v>38.299999999999997</v>
      </c>
      <c r="Q89" s="2">
        <v>1305927.23</v>
      </c>
      <c r="R89" s="2">
        <v>531364.97</v>
      </c>
      <c r="S89" s="2">
        <v>774562.26</v>
      </c>
      <c r="T89" s="2">
        <v>112008.59</v>
      </c>
      <c r="U89" s="2">
        <v>-55880.09</v>
      </c>
      <c r="V89" s="2">
        <v>36351.58</v>
      </c>
      <c r="W89" s="2">
        <v>92480.08</v>
      </c>
    </row>
    <row r="90" spans="1:23" ht="15.75" customHeight="1">
      <c r="A90">
        <v>514</v>
      </c>
      <c r="B90" s="1">
        <v>44501</v>
      </c>
      <c r="C90" t="s">
        <v>23</v>
      </c>
      <c r="D90">
        <v>4</v>
      </c>
      <c r="E90" t="s">
        <v>53</v>
      </c>
      <c r="F90">
        <v>11</v>
      </c>
      <c r="G90" t="s">
        <v>37</v>
      </c>
      <c r="H90" t="s">
        <v>36</v>
      </c>
      <c r="I90" t="s">
        <v>31</v>
      </c>
      <c r="J90" t="s">
        <v>32</v>
      </c>
      <c r="K90" s="2">
        <v>159802.85999999999</v>
      </c>
      <c r="L90" s="2">
        <v>124583.57</v>
      </c>
      <c r="M90" s="2">
        <v>35219.29</v>
      </c>
      <c r="N90" s="2">
        <v>5506.06</v>
      </c>
      <c r="O90" s="2">
        <v>29713.23</v>
      </c>
      <c r="P90" s="3">
        <v>18.59</v>
      </c>
      <c r="Q90" s="2">
        <v>2566866.6</v>
      </c>
      <c r="R90" s="2">
        <v>720744.5</v>
      </c>
      <c r="S90" s="2">
        <v>1846122.1</v>
      </c>
      <c r="T90" s="2">
        <v>53374.43</v>
      </c>
      <c r="U90" s="2">
        <v>12125.94</v>
      </c>
      <c r="V90" s="2">
        <v>-15534.49</v>
      </c>
      <c r="W90" s="2">
        <v>49965.88</v>
      </c>
    </row>
    <row r="91" spans="1:23" ht="15.75" customHeight="1">
      <c r="A91">
        <v>511</v>
      </c>
      <c r="B91" s="1">
        <v>44510</v>
      </c>
      <c r="C91" t="s">
        <v>23</v>
      </c>
      <c r="D91">
        <v>4</v>
      </c>
      <c r="E91" t="s">
        <v>53</v>
      </c>
      <c r="F91">
        <v>11</v>
      </c>
      <c r="G91" t="s">
        <v>25</v>
      </c>
      <c r="H91" t="s">
        <v>34</v>
      </c>
      <c r="I91" t="s">
        <v>31</v>
      </c>
      <c r="J91" t="s">
        <v>41</v>
      </c>
      <c r="K91" s="2">
        <v>108574.62</v>
      </c>
      <c r="L91" s="2">
        <v>59106.35</v>
      </c>
      <c r="M91" s="2">
        <v>49468.27</v>
      </c>
      <c r="N91" s="2">
        <v>10415</v>
      </c>
      <c r="O91" s="2">
        <v>39053.269999999997</v>
      </c>
      <c r="P91" s="3">
        <v>35.97</v>
      </c>
      <c r="Q91" s="2">
        <v>3883075.64</v>
      </c>
      <c r="R91" s="2">
        <v>1884636.3</v>
      </c>
      <c r="S91" s="2">
        <v>1998439.34</v>
      </c>
      <c r="T91" s="2">
        <v>26066.41</v>
      </c>
      <c r="U91" s="2">
        <v>-60298.18</v>
      </c>
      <c r="V91" s="2">
        <v>-33576.14</v>
      </c>
      <c r="W91" s="2">
        <v>-67807.91</v>
      </c>
    </row>
    <row r="92" spans="1:23" ht="15.75" customHeight="1">
      <c r="A92">
        <v>66</v>
      </c>
      <c r="B92" s="1">
        <v>44512</v>
      </c>
      <c r="C92" t="s">
        <v>23</v>
      </c>
      <c r="D92">
        <v>4</v>
      </c>
      <c r="E92" t="s">
        <v>53</v>
      </c>
      <c r="F92">
        <v>11</v>
      </c>
      <c r="G92" t="s">
        <v>29</v>
      </c>
      <c r="H92" t="s">
        <v>34</v>
      </c>
      <c r="I92" t="s">
        <v>38</v>
      </c>
      <c r="J92" t="s">
        <v>32</v>
      </c>
      <c r="K92" s="2">
        <v>132302.87</v>
      </c>
      <c r="L92" s="2">
        <v>101106.17</v>
      </c>
      <c r="M92" s="2">
        <v>31196.7</v>
      </c>
      <c r="N92" s="2">
        <v>3819.84</v>
      </c>
      <c r="O92" s="2">
        <v>27376.86</v>
      </c>
      <c r="P92" s="3">
        <v>20.69</v>
      </c>
      <c r="Q92" s="2">
        <v>2702412.34</v>
      </c>
      <c r="R92" s="2">
        <v>914722.74</v>
      </c>
      <c r="S92" s="2">
        <v>1787689.6</v>
      </c>
      <c r="T92" s="2">
        <v>76390.3</v>
      </c>
      <c r="U92" s="2">
        <v>24405.93</v>
      </c>
      <c r="V92" s="2">
        <v>-36057.32</v>
      </c>
      <c r="W92" s="2">
        <v>64738.91</v>
      </c>
    </row>
    <row r="93" spans="1:23" ht="15.75" customHeight="1">
      <c r="A93">
        <v>236</v>
      </c>
      <c r="B93" s="1">
        <v>44514</v>
      </c>
      <c r="C93" t="s">
        <v>23</v>
      </c>
      <c r="D93">
        <v>4</v>
      </c>
      <c r="E93" t="s">
        <v>53</v>
      </c>
      <c r="F93">
        <v>11</v>
      </c>
      <c r="G93" t="s">
        <v>37</v>
      </c>
      <c r="H93" t="s">
        <v>34</v>
      </c>
      <c r="I93" t="s">
        <v>31</v>
      </c>
      <c r="J93" t="s">
        <v>32</v>
      </c>
      <c r="K93" s="2">
        <v>70028.2</v>
      </c>
      <c r="L93" s="2">
        <v>43690.29</v>
      </c>
      <c r="M93" s="2">
        <v>26337.91</v>
      </c>
      <c r="N93" s="2">
        <v>6092.59</v>
      </c>
      <c r="O93" s="2">
        <v>20245.32</v>
      </c>
      <c r="P93" s="3">
        <v>28.91</v>
      </c>
      <c r="Q93" s="2">
        <v>3684746.08</v>
      </c>
      <c r="R93" s="2">
        <v>1012867.76</v>
      </c>
      <c r="S93" s="2">
        <v>2671878.3199999998</v>
      </c>
      <c r="T93" s="2">
        <v>2029.56</v>
      </c>
      <c r="U93" s="2">
        <v>-69215.839999999997</v>
      </c>
      <c r="V93" s="2">
        <v>23092.18</v>
      </c>
      <c r="W93" s="2">
        <v>-44094.1</v>
      </c>
    </row>
    <row r="94" spans="1:23" ht="15.75" customHeight="1">
      <c r="A94">
        <v>490</v>
      </c>
      <c r="B94" s="1">
        <v>44517</v>
      </c>
      <c r="C94" t="s">
        <v>23</v>
      </c>
      <c r="D94">
        <v>4</v>
      </c>
      <c r="E94" t="s">
        <v>53</v>
      </c>
      <c r="F94">
        <v>11</v>
      </c>
      <c r="G94" t="s">
        <v>37</v>
      </c>
      <c r="H94" t="s">
        <v>30</v>
      </c>
      <c r="I94" t="s">
        <v>27</v>
      </c>
      <c r="J94" t="s">
        <v>32</v>
      </c>
      <c r="K94" s="2">
        <v>60225.46</v>
      </c>
      <c r="L94" s="2">
        <v>39218.89</v>
      </c>
      <c r="M94" s="2">
        <v>21006.57</v>
      </c>
      <c r="N94" s="2">
        <v>4162.3500000000004</v>
      </c>
      <c r="O94" s="2">
        <v>16844.22</v>
      </c>
      <c r="P94" s="3">
        <v>27.97</v>
      </c>
      <c r="Q94" s="2">
        <v>2818251.63</v>
      </c>
      <c r="R94" s="2">
        <v>1820912.03</v>
      </c>
      <c r="S94" s="2">
        <v>997339.6</v>
      </c>
      <c r="T94" s="2">
        <v>35751.550000000003</v>
      </c>
      <c r="U94" s="2">
        <v>-32902.629999999997</v>
      </c>
      <c r="V94" s="2">
        <v>37215.199999999997</v>
      </c>
      <c r="W94" s="2">
        <v>40064.120000000003</v>
      </c>
    </row>
    <row r="95" spans="1:23" ht="15.75" customHeight="1">
      <c r="A95">
        <v>13</v>
      </c>
      <c r="B95" s="1">
        <v>44527</v>
      </c>
      <c r="C95" t="s">
        <v>23</v>
      </c>
      <c r="D95">
        <v>4</v>
      </c>
      <c r="E95" t="s">
        <v>53</v>
      </c>
      <c r="F95">
        <v>11</v>
      </c>
      <c r="G95" t="s">
        <v>25</v>
      </c>
      <c r="H95" t="s">
        <v>36</v>
      </c>
      <c r="I95" t="s">
        <v>31</v>
      </c>
      <c r="J95" t="s">
        <v>44</v>
      </c>
      <c r="K95" s="2">
        <v>152532.5</v>
      </c>
      <c r="L95" s="2">
        <v>110640.72</v>
      </c>
      <c r="M95" s="2">
        <v>41891.78</v>
      </c>
      <c r="N95" s="2">
        <v>8201.43</v>
      </c>
      <c r="O95" s="2">
        <v>33690.35</v>
      </c>
      <c r="P95" s="3">
        <v>22.09</v>
      </c>
      <c r="Q95" s="2">
        <v>1568779.12</v>
      </c>
      <c r="R95" s="2">
        <v>643339.31000000006</v>
      </c>
      <c r="S95" s="2">
        <v>925439.81</v>
      </c>
      <c r="T95" s="2">
        <v>41907.54</v>
      </c>
      <c r="U95" s="2">
        <v>-61710.87</v>
      </c>
      <c r="V95" s="2">
        <v>12837.01</v>
      </c>
      <c r="W95" s="2">
        <v>-6966.32</v>
      </c>
    </row>
    <row r="96" spans="1:23" ht="15.75" customHeight="1">
      <c r="A96">
        <v>372</v>
      </c>
      <c r="B96" s="1">
        <v>44534</v>
      </c>
      <c r="C96" t="s">
        <v>23</v>
      </c>
      <c r="D96">
        <v>4</v>
      </c>
      <c r="E96" t="s">
        <v>54</v>
      </c>
      <c r="F96">
        <v>12</v>
      </c>
      <c r="G96" t="s">
        <v>25</v>
      </c>
      <c r="H96" t="s">
        <v>36</v>
      </c>
      <c r="I96" t="s">
        <v>38</v>
      </c>
      <c r="J96" t="s">
        <v>32</v>
      </c>
      <c r="K96" s="2">
        <v>75022.62</v>
      </c>
      <c r="L96" s="2">
        <v>49148.22</v>
      </c>
      <c r="M96" s="2">
        <v>25874.400000000001</v>
      </c>
      <c r="N96" s="2">
        <v>2721.91</v>
      </c>
      <c r="O96" s="2">
        <v>23152.49</v>
      </c>
      <c r="P96" s="3">
        <v>30.86</v>
      </c>
      <c r="Q96" s="2">
        <v>914444.39</v>
      </c>
      <c r="R96" s="2">
        <v>526821.04</v>
      </c>
      <c r="S96" s="2">
        <v>387623.35</v>
      </c>
      <c r="T96" s="2">
        <v>64704.84</v>
      </c>
      <c r="U96" s="2">
        <v>12360.64</v>
      </c>
      <c r="V96" s="2">
        <v>49878.79</v>
      </c>
      <c r="W96" s="2">
        <v>126944.27</v>
      </c>
    </row>
    <row r="97" spans="1:23" ht="15.75" customHeight="1">
      <c r="A97">
        <v>113</v>
      </c>
      <c r="B97" s="1">
        <v>44534</v>
      </c>
      <c r="C97" t="s">
        <v>23</v>
      </c>
      <c r="D97">
        <v>4</v>
      </c>
      <c r="E97" t="s">
        <v>54</v>
      </c>
      <c r="F97">
        <v>12</v>
      </c>
      <c r="G97" t="s">
        <v>40</v>
      </c>
      <c r="H97" t="s">
        <v>36</v>
      </c>
      <c r="I97" t="s">
        <v>31</v>
      </c>
      <c r="J97" t="s">
        <v>29</v>
      </c>
      <c r="K97" s="2">
        <v>112333.03</v>
      </c>
      <c r="L97" s="2">
        <v>66361.33</v>
      </c>
      <c r="M97" s="2">
        <v>45971.7</v>
      </c>
      <c r="N97" s="2">
        <v>7964.36</v>
      </c>
      <c r="O97" s="2">
        <v>38007.339999999997</v>
      </c>
      <c r="P97" s="3">
        <v>33.83</v>
      </c>
      <c r="Q97" s="2">
        <v>3184184.64</v>
      </c>
      <c r="R97" s="2">
        <v>1491073.28</v>
      </c>
      <c r="S97" s="2">
        <v>1693111.36</v>
      </c>
      <c r="T97" s="2">
        <v>43560.9</v>
      </c>
      <c r="U97" s="2">
        <v>-68533.289999999994</v>
      </c>
      <c r="V97" s="2">
        <v>18706.169999999998</v>
      </c>
      <c r="W97" s="2">
        <v>-6266.22</v>
      </c>
    </row>
    <row r="98" spans="1:23" ht="15.75" customHeight="1">
      <c r="A98">
        <v>319</v>
      </c>
      <c r="B98" s="1">
        <v>44534</v>
      </c>
      <c r="C98" t="s">
        <v>23</v>
      </c>
      <c r="D98">
        <v>4</v>
      </c>
      <c r="E98" t="s">
        <v>54</v>
      </c>
      <c r="F98">
        <v>12</v>
      </c>
      <c r="G98" t="s">
        <v>37</v>
      </c>
      <c r="H98" t="s">
        <v>36</v>
      </c>
      <c r="I98" t="s">
        <v>38</v>
      </c>
      <c r="J98" t="s">
        <v>28</v>
      </c>
      <c r="K98" s="2">
        <v>101068.58</v>
      </c>
      <c r="L98" s="2">
        <v>60684.2</v>
      </c>
      <c r="M98" s="2">
        <v>40384.379999999997</v>
      </c>
      <c r="N98" s="2">
        <v>9431.4699999999993</v>
      </c>
      <c r="O98" s="2">
        <v>30952.91</v>
      </c>
      <c r="P98" s="3">
        <v>30.63</v>
      </c>
      <c r="Q98" s="2">
        <v>3217329.42</v>
      </c>
      <c r="R98" s="2">
        <v>1546395.24</v>
      </c>
      <c r="S98" s="2">
        <v>1670934.18</v>
      </c>
      <c r="T98" s="2">
        <v>45654.19</v>
      </c>
      <c r="U98" s="2">
        <v>-32883.050000000003</v>
      </c>
      <c r="V98" s="2">
        <v>38564.31</v>
      </c>
      <c r="W98" s="2">
        <v>51335.45</v>
      </c>
    </row>
    <row r="99" spans="1:23" ht="15.75" customHeight="1">
      <c r="A99">
        <v>24</v>
      </c>
      <c r="B99" s="1">
        <v>44540</v>
      </c>
      <c r="C99" t="s">
        <v>23</v>
      </c>
      <c r="D99">
        <v>4</v>
      </c>
      <c r="E99" t="s">
        <v>54</v>
      </c>
      <c r="F99">
        <v>12</v>
      </c>
      <c r="G99" t="s">
        <v>25</v>
      </c>
      <c r="H99" t="s">
        <v>36</v>
      </c>
      <c r="I99" t="s">
        <v>31</v>
      </c>
      <c r="J99" t="s">
        <v>41</v>
      </c>
      <c r="K99" s="2">
        <v>86464.13</v>
      </c>
      <c r="L99" s="2">
        <v>58810.49</v>
      </c>
      <c r="M99" s="2">
        <v>27653.64</v>
      </c>
      <c r="N99" s="2">
        <v>6266.37</v>
      </c>
      <c r="O99" s="2">
        <v>21387.27</v>
      </c>
      <c r="P99" s="3">
        <v>24.74</v>
      </c>
      <c r="Q99" s="2">
        <v>4772842.8099999996</v>
      </c>
      <c r="R99" s="2">
        <v>1473994.14</v>
      </c>
      <c r="S99" s="2">
        <v>3298848.67</v>
      </c>
      <c r="T99" s="2">
        <v>65514.28</v>
      </c>
      <c r="U99" s="2">
        <v>-20788.37</v>
      </c>
      <c r="V99" s="2">
        <v>-14175.56</v>
      </c>
      <c r="W99" s="2">
        <v>30550.35</v>
      </c>
    </row>
    <row r="100" spans="1:23" ht="15.75" customHeight="1">
      <c r="A100">
        <v>331</v>
      </c>
      <c r="B100" s="1">
        <v>44542</v>
      </c>
      <c r="C100" t="s">
        <v>23</v>
      </c>
      <c r="D100">
        <v>4</v>
      </c>
      <c r="E100" t="s">
        <v>54</v>
      </c>
      <c r="F100">
        <v>12</v>
      </c>
      <c r="G100" t="s">
        <v>29</v>
      </c>
      <c r="H100" t="s">
        <v>30</v>
      </c>
      <c r="I100" t="s">
        <v>38</v>
      </c>
      <c r="J100" t="s">
        <v>41</v>
      </c>
      <c r="K100" s="2">
        <v>175051.84</v>
      </c>
      <c r="L100" s="2">
        <v>107706.66</v>
      </c>
      <c r="M100" s="2">
        <v>67345.179999999993</v>
      </c>
      <c r="N100" s="2">
        <v>11129.33</v>
      </c>
      <c r="O100" s="2">
        <v>56215.85</v>
      </c>
      <c r="P100" s="3">
        <v>32.11</v>
      </c>
      <c r="Q100" s="2">
        <v>1609963.77</v>
      </c>
      <c r="R100" s="2">
        <v>705782.52</v>
      </c>
      <c r="S100" s="2">
        <v>904181.25</v>
      </c>
      <c r="T100" s="2">
        <v>79168.94</v>
      </c>
      <c r="U100" s="2">
        <v>5117.71</v>
      </c>
      <c r="V100" s="2">
        <v>35386.81</v>
      </c>
      <c r="W100" s="2">
        <v>119673.46</v>
      </c>
    </row>
    <row r="101" spans="1:23" ht="15.75" customHeight="1">
      <c r="A101">
        <v>543</v>
      </c>
      <c r="B101" s="1">
        <v>44566</v>
      </c>
      <c r="C101" t="s">
        <v>55</v>
      </c>
      <c r="D101">
        <v>1</v>
      </c>
      <c r="E101" t="s">
        <v>24</v>
      </c>
      <c r="F101">
        <v>1</v>
      </c>
      <c r="G101" t="s">
        <v>43</v>
      </c>
      <c r="H101" t="s">
        <v>36</v>
      </c>
      <c r="I101" t="s">
        <v>27</v>
      </c>
      <c r="J101" t="s">
        <v>41</v>
      </c>
      <c r="K101" s="2">
        <v>164293.49</v>
      </c>
      <c r="L101" s="2">
        <v>101682.6</v>
      </c>
      <c r="M101" s="2">
        <v>62610.89</v>
      </c>
      <c r="N101" s="2">
        <v>6599.45</v>
      </c>
      <c r="O101" s="2">
        <v>56011.44</v>
      </c>
      <c r="P101" s="3">
        <v>34.090000000000003</v>
      </c>
      <c r="Q101" s="2">
        <v>4684710.17</v>
      </c>
      <c r="R101" s="2">
        <v>2030737.75</v>
      </c>
      <c r="S101" s="2">
        <v>2653972.42</v>
      </c>
      <c r="T101" s="2">
        <v>40541.949999999997</v>
      </c>
      <c r="U101" s="2">
        <v>-39760.43</v>
      </c>
      <c r="V101" s="2">
        <v>-34919.74</v>
      </c>
      <c r="W101" s="2">
        <v>-34138.22</v>
      </c>
    </row>
    <row r="102" spans="1:23" ht="15.75" customHeight="1">
      <c r="A102">
        <v>139</v>
      </c>
      <c r="B102" s="1">
        <v>44575</v>
      </c>
      <c r="C102" t="s">
        <v>55</v>
      </c>
      <c r="D102">
        <v>1</v>
      </c>
      <c r="E102" t="s">
        <v>24</v>
      </c>
      <c r="F102">
        <v>1</v>
      </c>
      <c r="G102" t="s">
        <v>25</v>
      </c>
      <c r="H102" t="s">
        <v>36</v>
      </c>
      <c r="I102" t="s">
        <v>31</v>
      </c>
      <c r="J102" t="s">
        <v>44</v>
      </c>
      <c r="K102" s="2">
        <v>122541.31</v>
      </c>
      <c r="L102" s="2">
        <v>64159.79</v>
      </c>
      <c r="M102" s="2">
        <v>58381.52</v>
      </c>
      <c r="N102" s="2">
        <v>5311.83</v>
      </c>
      <c r="O102" s="2">
        <v>53069.69</v>
      </c>
      <c r="P102" s="3">
        <v>43.31</v>
      </c>
      <c r="Q102" s="2">
        <v>691849.44</v>
      </c>
      <c r="R102" s="2">
        <v>275745.88</v>
      </c>
      <c r="S102" s="2">
        <v>416103.56</v>
      </c>
      <c r="T102" s="2">
        <v>44337.78</v>
      </c>
      <c r="U102" s="2">
        <v>-5390.99</v>
      </c>
      <c r="V102" s="2">
        <v>9933.3799999999992</v>
      </c>
      <c r="W102" s="2">
        <v>48880.17</v>
      </c>
    </row>
    <row r="103" spans="1:23" ht="15.75" customHeight="1">
      <c r="A103">
        <v>120</v>
      </c>
      <c r="B103" s="1">
        <v>44576</v>
      </c>
      <c r="C103" t="s">
        <v>55</v>
      </c>
      <c r="D103">
        <v>1</v>
      </c>
      <c r="E103" t="s">
        <v>24</v>
      </c>
      <c r="F103">
        <v>1</v>
      </c>
      <c r="G103" t="s">
        <v>33</v>
      </c>
      <c r="H103" t="s">
        <v>30</v>
      </c>
      <c r="I103" t="s">
        <v>31</v>
      </c>
      <c r="J103" t="s">
        <v>41</v>
      </c>
      <c r="K103" s="2">
        <v>61714.94</v>
      </c>
      <c r="L103" s="2">
        <v>45594.65</v>
      </c>
      <c r="M103" s="2">
        <v>16120.29</v>
      </c>
      <c r="N103" s="2">
        <v>2042.72</v>
      </c>
      <c r="O103" s="2">
        <v>14077.57</v>
      </c>
      <c r="P103" s="3">
        <v>22.81</v>
      </c>
      <c r="Q103" s="2">
        <v>4201764.43</v>
      </c>
      <c r="R103" s="2">
        <v>1762620.44</v>
      </c>
      <c r="S103" s="2">
        <v>2439143.9900000002</v>
      </c>
      <c r="T103" s="2">
        <v>37481.56</v>
      </c>
      <c r="U103" s="2">
        <v>-60446.47</v>
      </c>
      <c r="V103" s="2">
        <v>22385.93</v>
      </c>
      <c r="W103" s="2">
        <v>-578.98</v>
      </c>
    </row>
    <row r="104" spans="1:23" ht="15.75" customHeight="1">
      <c r="A104">
        <v>270</v>
      </c>
      <c r="B104" s="1">
        <v>44581</v>
      </c>
      <c r="C104" t="s">
        <v>55</v>
      </c>
      <c r="D104">
        <v>1</v>
      </c>
      <c r="E104" t="s">
        <v>24</v>
      </c>
      <c r="F104">
        <v>1</v>
      </c>
      <c r="G104" t="s">
        <v>37</v>
      </c>
      <c r="H104" t="s">
        <v>26</v>
      </c>
      <c r="I104" t="s">
        <v>38</v>
      </c>
      <c r="J104" t="s">
        <v>29</v>
      </c>
      <c r="K104" s="2">
        <v>102196.26</v>
      </c>
      <c r="L104" s="2">
        <v>74076.47</v>
      </c>
      <c r="M104" s="2">
        <v>28119.79</v>
      </c>
      <c r="N104" s="2">
        <v>3812.98</v>
      </c>
      <c r="O104" s="2">
        <v>24306.81</v>
      </c>
      <c r="P104" s="3">
        <v>23.78</v>
      </c>
      <c r="Q104" s="2">
        <v>4505256.6100000003</v>
      </c>
      <c r="R104" s="2">
        <v>1278233.77</v>
      </c>
      <c r="S104" s="2">
        <v>3227022.84</v>
      </c>
      <c r="T104" s="2">
        <v>58881.96</v>
      </c>
      <c r="U104" s="2">
        <v>16131.96</v>
      </c>
      <c r="V104" s="2">
        <v>41725.230000000003</v>
      </c>
      <c r="W104" s="2">
        <v>116739.15</v>
      </c>
    </row>
    <row r="105" spans="1:23" ht="15.75" customHeight="1">
      <c r="A105">
        <v>28</v>
      </c>
      <c r="B105" s="1">
        <v>44582</v>
      </c>
      <c r="C105" t="s">
        <v>55</v>
      </c>
      <c r="D105">
        <v>1</v>
      </c>
      <c r="E105" t="s">
        <v>24</v>
      </c>
      <c r="F105">
        <v>1</v>
      </c>
      <c r="G105" t="s">
        <v>40</v>
      </c>
      <c r="H105" t="s">
        <v>36</v>
      </c>
      <c r="I105" t="s">
        <v>31</v>
      </c>
      <c r="J105" t="s">
        <v>44</v>
      </c>
      <c r="K105" s="2">
        <v>49331.54</v>
      </c>
      <c r="L105" s="2">
        <v>29085.67</v>
      </c>
      <c r="M105" s="2">
        <v>20245.87</v>
      </c>
      <c r="N105" s="2">
        <v>1628.6</v>
      </c>
      <c r="O105" s="2">
        <v>18617.27</v>
      </c>
      <c r="P105" s="3">
        <v>37.74</v>
      </c>
      <c r="Q105" s="2">
        <v>4407354.9800000004</v>
      </c>
      <c r="R105" s="2">
        <v>1250837.33</v>
      </c>
      <c r="S105" s="2">
        <v>3156517.65</v>
      </c>
      <c r="T105" s="2">
        <v>36399.519999999997</v>
      </c>
      <c r="U105" s="2">
        <v>28625.7</v>
      </c>
      <c r="V105" s="2">
        <v>13659.06</v>
      </c>
      <c r="W105" s="2">
        <v>78684.28</v>
      </c>
    </row>
    <row r="106" spans="1:23" ht="15.75" customHeight="1">
      <c r="A106">
        <v>64</v>
      </c>
      <c r="B106" s="1">
        <v>44584</v>
      </c>
      <c r="C106" t="s">
        <v>55</v>
      </c>
      <c r="D106">
        <v>1</v>
      </c>
      <c r="E106" t="s">
        <v>24</v>
      </c>
      <c r="F106">
        <v>1</v>
      </c>
      <c r="G106" t="s">
        <v>29</v>
      </c>
      <c r="H106" t="s">
        <v>34</v>
      </c>
      <c r="I106" t="s">
        <v>38</v>
      </c>
      <c r="J106" t="s">
        <v>41</v>
      </c>
      <c r="K106" s="2">
        <v>101801.15</v>
      </c>
      <c r="L106" s="2">
        <v>71740.179999999993</v>
      </c>
      <c r="M106" s="2">
        <v>30060.97</v>
      </c>
      <c r="N106" s="2">
        <v>4627</v>
      </c>
      <c r="O106" s="2">
        <v>25433.97</v>
      </c>
      <c r="P106" s="3">
        <v>24.98</v>
      </c>
      <c r="Q106" s="2">
        <v>1608809.15</v>
      </c>
      <c r="R106" s="2">
        <v>929314.01</v>
      </c>
      <c r="S106" s="2">
        <v>679495.14</v>
      </c>
      <c r="T106" s="2">
        <v>59387.24</v>
      </c>
      <c r="U106" s="2">
        <v>-530.35</v>
      </c>
      <c r="V106" s="2">
        <v>-12785.49</v>
      </c>
      <c r="W106" s="2">
        <v>46071.4</v>
      </c>
    </row>
    <row r="107" spans="1:23" ht="15.75" customHeight="1">
      <c r="A107">
        <v>135</v>
      </c>
      <c r="B107" s="1">
        <v>44588</v>
      </c>
      <c r="C107" t="s">
        <v>55</v>
      </c>
      <c r="D107">
        <v>1</v>
      </c>
      <c r="E107" t="s">
        <v>24</v>
      </c>
      <c r="F107">
        <v>1</v>
      </c>
      <c r="G107" t="s">
        <v>43</v>
      </c>
      <c r="H107" t="s">
        <v>36</v>
      </c>
      <c r="I107" t="s">
        <v>31</v>
      </c>
      <c r="J107" t="s">
        <v>28</v>
      </c>
      <c r="K107" s="2">
        <v>57822.080000000002</v>
      </c>
      <c r="L107" s="2">
        <v>36387.58</v>
      </c>
      <c r="M107" s="2">
        <v>21434.5</v>
      </c>
      <c r="N107" s="2">
        <v>4463.16</v>
      </c>
      <c r="O107" s="2">
        <v>16971.34</v>
      </c>
      <c r="P107" s="3">
        <v>29.35</v>
      </c>
      <c r="Q107" s="2">
        <v>3287739.88</v>
      </c>
      <c r="R107" s="2">
        <v>1212985.3899999999</v>
      </c>
      <c r="S107" s="2">
        <v>2074754.49</v>
      </c>
      <c r="T107" s="2">
        <v>21398.31</v>
      </c>
      <c r="U107" s="2">
        <v>-52933.52</v>
      </c>
      <c r="V107" s="2">
        <v>-32537.02</v>
      </c>
      <c r="W107" s="2">
        <v>-64072.23</v>
      </c>
    </row>
    <row r="108" spans="1:23" ht="15.75" customHeight="1">
      <c r="A108">
        <v>174</v>
      </c>
      <c r="B108" s="1">
        <v>44589</v>
      </c>
      <c r="C108" t="s">
        <v>55</v>
      </c>
      <c r="D108">
        <v>1</v>
      </c>
      <c r="E108" t="s">
        <v>24</v>
      </c>
      <c r="F108">
        <v>1</v>
      </c>
      <c r="G108" t="s">
        <v>25</v>
      </c>
      <c r="H108" t="s">
        <v>36</v>
      </c>
      <c r="I108" t="s">
        <v>27</v>
      </c>
      <c r="J108" t="s">
        <v>29</v>
      </c>
      <c r="K108" s="2">
        <v>120371.19</v>
      </c>
      <c r="L108" s="2">
        <v>57884.3</v>
      </c>
      <c r="M108" s="2">
        <v>62486.89</v>
      </c>
      <c r="N108" s="2">
        <v>14372.66</v>
      </c>
      <c r="O108" s="2">
        <v>48114.23</v>
      </c>
      <c r="P108" s="3">
        <v>39.97</v>
      </c>
      <c r="Q108" s="2">
        <v>4116215.91</v>
      </c>
      <c r="R108" s="2">
        <v>1860870.04</v>
      </c>
      <c r="S108" s="2">
        <v>2255345.87</v>
      </c>
      <c r="T108" s="2">
        <v>95484.36</v>
      </c>
      <c r="U108" s="2">
        <v>-28223.9</v>
      </c>
      <c r="V108" s="2">
        <v>58411.03</v>
      </c>
      <c r="W108" s="2">
        <v>125671.49</v>
      </c>
    </row>
    <row r="109" spans="1:23" ht="15.75" customHeight="1">
      <c r="A109">
        <v>382</v>
      </c>
      <c r="B109" s="1">
        <v>44594</v>
      </c>
      <c r="C109" t="s">
        <v>55</v>
      </c>
      <c r="D109">
        <v>1</v>
      </c>
      <c r="E109" t="s">
        <v>42</v>
      </c>
      <c r="F109">
        <v>2</v>
      </c>
      <c r="G109" t="s">
        <v>25</v>
      </c>
      <c r="H109" t="s">
        <v>34</v>
      </c>
      <c r="I109" t="s">
        <v>31</v>
      </c>
      <c r="J109" t="s">
        <v>44</v>
      </c>
      <c r="K109" s="2">
        <v>41482.28</v>
      </c>
      <c r="L109" s="2">
        <v>20418.900000000001</v>
      </c>
      <c r="M109" s="2">
        <v>21063.38</v>
      </c>
      <c r="N109" s="2">
        <v>5054.75</v>
      </c>
      <c r="O109" s="2">
        <v>16008.63</v>
      </c>
      <c r="P109" s="3">
        <v>38.590000000000003</v>
      </c>
      <c r="Q109" s="2">
        <v>4426947.82</v>
      </c>
      <c r="R109" s="2">
        <v>1907282.46</v>
      </c>
      <c r="S109" s="2">
        <v>2519665.36</v>
      </c>
      <c r="T109" s="2">
        <v>64873.06</v>
      </c>
      <c r="U109" s="2">
        <v>-69981.350000000006</v>
      </c>
      <c r="V109" s="2">
        <v>21397.95</v>
      </c>
      <c r="W109" s="2">
        <v>16289.66</v>
      </c>
    </row>
    <row r="110" spans="1:23" ht="15.75" customHeight="1">
      <c r="A110">
        <v>171</v>
      </c>
      <c r="B110" s="1">
        <v>44594</v>
      </c>
      <c r="C110" t="s">
        <v>55</v>
      </c>
      <c r="D110">
        <v>1</v>
      </c>
      <c r="E110" t="s">
        <v>42</v>
      </c>
      <c r="F110">
        <v>2</v>
      </c>
      <c r="G110" t="s">
        <v>43</v>
      </c>
      <c r="H110" t="s">
        <v>34</v>
      </c>
      <c r="I110" t="s">
        <v>27</v>
      </c>
      <c r="J110" t="s">
        <v>44</v>
      </c>
      <c r="K110" s="2">
        <v>148743.35</v>
      </c>
      <c r="L110" s="2">
        <v>87403.839999999997</v>
      </c>
      <c r="M110" s="2">
        <v>61339.51</v>
      </c>
      <c r="N110" s="2">
        <v>9617.33</v>
      </c>
      <c r="O110" s="2">
        <v>51722.18</v>
      </c>
      <c r="P110" s="3">
        <v>34.770000000000003</v>
      </c>
      <c r="Q110" s="2">
        <v>2288216.2599999998</v>
      </c>
      <c r="R110" s="2">
        <v>657549.12</v>
      </c>
      <c r="S110" s="2">
        <v>1630667.14</v>
      </c>
      <c r="T110" s="2">
        <v>57007.95</v>
      </c>
      <c r="U110" s="2">
        <v>-50439.07</v>
      </c>
      <c r="V110" s="2">
        <v>-21327.67</v>
      </c>
      <c r="W110" s="2">
        <v>-14758.79</v>
      </c>
    </row>
    <row r="111" spans="1:23" ht="15.75" customHeight="1">
      <c r="A111">
        <v>493</v>
      </c>
      <c r="B111" s="1">
        <v>44596</v>
      </c>
      <c r="C111" t="s">
        <v>55</v>
      </c>
      <c r="D111">
        <v>1</v>
      </c>
      <c r="E111" t="s">
        <v>42</v>
      </c>
      <c r="F111">
        <v>2</v>
      </c>
      <c r="G111" t="s">
        <v>37</v>
      </c>
      <c r="H111" t="s">
        <v>26</v>
      </c>
      <c r="I111" t="s">
        <v>31</v>
      </c>
      <c r="J111" t="s">
        <v>37</v>
      </c>
      <c r="K111" s="2">
        <v>113227</v>
      </c>
      <c r="L111" s="2">
        <v>87315.28</v>
      </c>
      <c r="M111" s="2">
        <v>25911.72</v>
      </c>
      <c r="N111" s="2">
        <v>4641.51</v>
      </c>
      <c r="O111" s="2">
        <v>21270.21</v>
      </c>
      <c r="P111" s="3">
        <v>18.79</v>
      </c>
      <c r="Q111" s="2">
        <v>3731063.8</v>
      </c>
      <c r="R111" s="2">
        <v>1488013.27</v>
      </c>
      <c r="S111" s="2">
        <v>2243050.5299999998</v>
      </c>
      <c r="T111" s="2">
        <v>-1333.83</v>
      </c>
      <c r="U111" s="2">
        <v>-24209.97</v>
      </c>
      <c r="V111" s="2">
        <v>-552.05999999999995</v>
      </c>
      <c r="W111" s="2">
        <v>-26095.86</v>
      </c>
    </row>
    <row r="112" spans="1:23" ht="15.75" customHeight="1">
      <c r="A112">
        <v>389</v>
      </c>
      <c r="B112" s="1">
        <v>44597</v>
      </c>
      <c r="C112" t="s">
        <v>55</v>
      </c>
      <c r="D112">
        <v>1</v>
      </c>
      <c r="E112" t="s">
        <v>42</v>
      </c>
      <c r="F112">
        <v>2</v>
      </c>
      <c r="G112" t="s">
        <v>40</v>
      </c>
      <c r="H112" t="s">
        <v>36</v>
      </c>
      <c r="I112" t="s">
        <v>38</v>
      </c>
      <c r="J112" t="s">
        <v>37</v>
      </c>
      <c r="K112" s="2">
        <v>177290.8</v>
      </c>
      <c r="L112" s="2">
        <v>85430.92</v>
      </c>
      <c r="M112" s="2">
        <v>91859.88</v>
      </c>
      <c r="N112" s="2">
        <v>20066.400000000001</v>
      </c>
      <c r="O112" s="2">
        <v>71793.48</v>
      </c>
      <c r="P112" s="3">
        <v>40.49</v>
      </c>
      <c r="Q112" s="2">
        <v>1761506.39</v>
      </c>
      <c r="R112" s="2">
        <v>533510.72</v>
      </c>
      <c r="S112" s="2">
        <v>1227995.67</v>
      </c>
      <c r="T112" s="2">
        <v>76981.929999999993</v>
      </c>
      <c r="U112" s="2">
        <v>-5604.34</v>
      </c>
      <c r="V112" s="2">
        <v>-1904.82</v>
      </c>
      <c r="W112" s="2">
        <v>69472.77</v>
      </c>
    </row>
    <row r="113" spans="1:23" ht="15.75" customHeight="1">
      <c r="A113">
        <v>286</v>
      </c>
      <c r="B113" s="1">
        <v>44597</v>
      </c>
      <c r="C113" t="s">
        <v>55</v>
      </c>
      <c r="D113">
        <v>1</v>
      </c>
      <c r="E113" t="s">
        <v>42</v>
      </c>
      <c r="F113">
        <v>2</v>
      </c>
      <c r="G113" t="s">
        <v>29</v>
      </c>
      <c r="H113" t="s">
        <v>34</v>
      </c>
      <c r="I113" t="s">
        <v>35</v>
      </c>
      <c r="J113" t="s">
        <v>32</v>
      </c>
      <c r="K113" s="2">
        <v>103709.78</v>
      </c>
      <c r="L113" s="2">
        <v>62757.95</v>
      </c>
      <c r="M113" s="2">
        <v>40951.83</v>
      </c>
      <c r="N113" s="2">
        <v>3402.32</v>
      </c>
      <c r="O113" s="2">
        <v>37549.51</v>
      </c>
      <c r="P113" s="3">
        <v>36.21</v>
      </c>
      <c r="Q113" s="2">
        <v>4067411.51</v>
      </c>
      <c r="R113" s="2">
        <v>1129188.1200000001</v>
      </c>
      <c r="S113" s="2">
        <v>2938223.39</v>
      </c>
      <c r="T113" s="2">
        <v>45489.91</v>
      </c>
      <c r="U113" s="2">
        <v>-13932.17</v>
      </c>
      <c r="V113" s="2">
        <v>22842.65</v>
      </c>
      <c r="W113" s="2">
        <v>54400.39</v>
      </c>
    </row>
    <row r="114" spans="1:23" ht="15.75" customHeight="1">
      <c r="A114">
        <v>94</v>
      </c>
      <c r="B114" s="1">
        <v>44598</v>
      </c>
      <c r="C114" t="s">
        <v>55</v>
      </c>
      <c r="D114">
        <v>1</v>
      </c>
      <c r="E114" t="s">
        <v>42</v>
      </c>
      <c r="F114">
        <v>2</v>
      </c>
      <c r="G114" t="s">
        <v>37</v>
      </c>
      <c r="H114" t="s">
        <v>36</v>
      </c>
      <c r="I114" t="s">
        <v>27</v>
      </c>
      <c r="J114" t="s">
        <v>39</v>
      </c>
      <c r="K114" s="2">
        <v>176507.29</v>
      </c>
      <c r="L114" s="2">
        <v>92545.93</v>
      </c>
      <c r="M114" s="2">
        <v>83961.36</v>
      </c>
      <c r="N114" s="2">
        <v>16611.16</v>
      </c>
      <c r="O114" s="2">
        <v>67350.2</v>
      </c>
      <c r="P114" s="3">
        <v>38.159999999999997</v>
      </c>
      <c r="Q114" s="2">
        <v>4196483.28</v>
      </c>
      <c r="R114" s="2">
        <v>1118251.1599999999</v>
      </c>
      <c r="S114" s="2">
        <v>3078232.12</v>
      </c>
      <c r="T114" s="2">
        <v>90981.04</v>
      </c>
      <c r="U114" s="2">
        <v>25155</v>
      </c>
      <c r="V114" s="2">
        <v>-27578</v>
      </c>
      <c r="W114" s="2">
        <v>88558.04</v>
      </c>
    </row>
    <row r="115" spans="1:23" ht="15.75" customHeight="1">
      <c r="A115">
        <v>308</v>
      </c>
      <c r="B115" s="1">
        <v>44599</v>
      </c>
      <c r="C115" t="s">
        <v>55</v>
      </c>
      <c r="D115">
        <v>1</v>
      </c>
      <c r="E115" t="s">
        <v>42</v>
      </c>
      <c r="F115">
        <v>2</v>
      </c>
      <c r="G115" t="s">
        <v>25</v>
      </c>
      <c r="H115" t="s">
        <v>30</v>
      </c>
      <c r="I115" t="s">
        <v>38</v>
      </c>
      <c r="J115" t="s">
        <v>28</v>
      </c>
      <c r="K115" s="2">
        <v>133909.23000000001</v>
      </c>
      <c r="L115" s="2">
        <v>63555.360000000001</v>
      </c>
      <c r="M115" s="2">
        <v>70353.87</v>
      </c>
      <c r="N115" s="2">
        <v>8388.65</v>
      </c>
      <c r="O115" s="2">
        <v>61965.22</v>
      </c>
      <c r="P115" s="3">
        <v>46.27</v>
      </c>
      <c r="Q115" s="2">
        <v>4620525.05</v>
      </c>
      <c r="R115" s="2">
        <v>2294209.88</v>
      </c>
      <c r="S115" s="2">
        <v>2326315.17</v>
      </c>
      <c r="T115" s="2">
        <v>51668.1</v>
      </c>
      <c r="U115" s="2">
        <v>-932.02</v>
      </c>
      <c r="V115" s="2">
        <v>19677.64</v>
      </c>
      <c r="W115" s="2">
        <v>70413.72</v>
      </c>
    </row>
    <row r="116" spans="1:23" ht="15.75" customHeight="1">
      <c r="A116">
        <v>352</v>
      </c>
      <c r="B116" s="1">
        <v>44600</v>
      </c>
      <c r="C116" t="s">
        <v>55</v>
      </c>
      <c r="D116">
        <v>1</v>
      </c>
      <c r="E116" t="s">
        <v>42</v>
      </c>
      <c r="F116">
        <v>2</v>
      </c>
      <c r="G116" t="s">
        <v>29</v>
      </c>
      <c r="H116" t="s">
        <v>34</v>
      </c>
      <c r="I116" t="s">
        <v>27</v>
      </c>
      <c r="J116" t="s">
        <v>29</v>
      </c>
      <c r="K116" s="2">
        <v>118379.66</v>
      </c>
      <c r="L116" s="2">
        <v>60411.16</v>
      </c>
      <c r="M116" s="2">
        <v>57968.5</v>
      </c>
      <c r="N116" s="2">
        <v>6941.62</v>
      </c>
      <c r="O116" s="2">
        <v>51026.879999999997</v>
      </c>
      <c r="P116" s="3">
        <v>43.1</v>
      </c>
      <c r="Q116" s="2">
        <v>606684.89</v>
      </c>
      <c r="R116" s="2">
        <v>354291.16</v>
      </c>
      <c r="S116" s="2">
        <v>252393.73</v>
      </c>
      <c r="T116" s="2">
        <v>99002.13</v>
      </c>
      <c r="U116" s="2">
        <v>-56454.05</v>
      </c>
      <c r="V116" s="2">
        <v>-16852.48</v>
      </c>
      <c r="W116" s="2">
        <v>25695.599999999999</v>
      </c>
    </row>
    <row r="117" spans="1:23" ht="15.75" customHeight="1">
      <c r="A117">
        <v>153</v>
      </c>
      <c r="B117" s="1">
        <v>44603</v>
      </c>
      <c r="C117" t="s">
        <v>55</v>
      </c>
      <c r="D117">
        <v>1</v>
      </c>
      <c r="E117" t="s">
        <v>42</v>
      </c>
      <c r="F117">
        <v>2</v>
      </c>
      <c r="G117" t="s">
        <v>37</v>
      </c>
      <c r="H117" t="s">
        <v>30</v>
      </c>
      <c r="I117" t="s">
        <v>38</v>
      </c>
      <c r="J117" t="s">
        <v>39</v>
      </c>
      <c r="K117" s="2">
        <v>25810.59</v>
      </c>
      <c r="L117" s="2">
        <v>18882.169999999998</v>
      </c>
      <c r="M117" s="2">
        <v>6928.42</v>
      </c>
      <c r="N117" s="2">
        <v>595.86</v>
      </c>
      <c r="O117" s="2">
        <v>6332.56</v>
      </c>
      <c r="P117" s="3">
        <v>24.53</v>
      </c>
      <c r="Q117" s="2">
        <v>3855802.02</v>
      </c>
      <c r="R117" s="2">
        <v>1276240.49</v>
      </c>
      <c r="S117" s="2">
        <v>2579561.5299999998</v>
      </c>
      <c r="T117" s="2">
        <v>52978.44</v>
      </c>
      <c r="U117" s="2">
        <v>-33205.919999999998</v>
      </c>
      <c r="V117" s="2">
        <v>-7306.84</v>
      </c>
      <c r="W117" s="2">
        <v>12465.68</v>
      </c>
    </row>
    <row r="118" spans="1:23" ht="15.75" customHeight="1">
      <c r="A118">
        <v>482</v>
      </c>
      <c r="B118" s="1">
        <v>44604</v>
      </c>
      <c r="C118" t="s">
        <v>55</v>
      </c>
      <c r="D118">
        <v>1</v>
      </c>
      <c r="E118" t="s">
        <v>42</v>
      </c>
      <c r="F118">
        <v>2</v>
      </c>
      <c r="G118" t="s">
        <v>33</v>
      </c>
      <c r="H118" t="s">
        <v>34</v>
      </c>
      <c r="I118" t="s">
        <v>27</v>
      </c>
      <c r="J118" t="s">
        <v>37</v>
      </c>
      <c r="K118" s="2">
        <v>95793.24</v>
      </c>
      <c r="L118" s="2">
        <v>54776.04</v>
      </c>
      <c r="M118" s="2">
        <v>41017.199999999997</v>
      </c>
      <c r="N118" s="2">
        <v>3647.33</v>
      </c>
      <c r="O118" s="2">
        <v>37369.870000000003</v>
      </c>
      <c r="P118" s="3">
        <v>39.01</v>
      </c>
      <c r="Q118" s="2">
        <v>2526063.29</v>
      </c>
      <c r="R118" s="2">
        <v>888920.37</v>
      </c>
      <c r="S118" s="2">
        <v>1637142.92</v>
      </c>
      <c r="T118" s="2">
        <v>35520.660000000003</v>
      </c>
      <c r="U118" s="2">
        <v>561.53</v>
      </c>
      <c r="V118" s="2">
        <v>12155.1</v>
      </c>
      <c r="W118" s="2">
        <v>48237.29</v>
      </c>
    </row>
    <row r="119" spans="1:23" ht="15.75" customHeight="1">
      <c r="A119">
        <v>137</v>
      </c>
      <c r="B119" s="1">
        <v>44615</v>
      </c>
      <c r="C119" t="s">
        <v>55</v>
      </c>
      <c r="D119">
        <v>1</v>
      </c>
      <c r="E119" t="s">
        <v>42</v>
      </c>
      <c r="F119">
        <v>2</v>
      </c>
      <c r="G119" t="s">
        <v>25</v>
      </c>
      <c r="H119" t="s">
        <v>36</v>
      </c>
      <c r="I119" t="s">
        <v>27</v>
      </c>
      <c r="J119" t="s">
        <v>39</v>
      </c>
      <c r="K119" s="2">
        <v>137269.21</v>
      </c>
      <c r="L119" s="2">
        <v>102001.27</v>
      </c>
      <c r="M119" s="2">
        <v>35267.94</v>
      </c>
      <c r="N119" s="2">
        <v>5248.42</v>
      </c>
      <c r="O119" s="2">
        <v>30019.52</v>
      </c>
      <c r="P119" s="3">
        <v>21.87</v>
      </c>
      <c r="Q119" s="2">
        <v>3443341.08</v>
      </c>
      <c r="R119" s="2">
        <v>1348737.75</v>
      </c>
      <c r="S119" s="2">
        <v>2094603.33</v>
      </c>
      <c r="T119" s="2">
        <v>42059.89</v>
      </c>
      <c r="U119" s="2">
        <v>-21836.52</v>
      </c>
      <c r="V119" s="2">
        <v>-22311.29</v>
      </c>
      <c r="W119" s="2">
        <v>-2087.92</v>
      </c>
    </row>
    <row r="120" spans="1:23" ht="15.75" customHeight="1">
      <c r="A120">
        <v>404</v>
      </c>
      <c r="B120" s="1">
        <v>44634</v>
      </c>
      <c r="C120" t="s">
        <v>55</v>
      </c>
      <c r="D120">
        <v>1</v>
      </c>
      <c r="E120" t="s">
        <v>45</v>
      </c>
      <c r="F120">
        <v>3</v>
      </c>
      <c r="G120" t="s">
        <v>40</v>
      </c>
      <c r="H120" t="s">
        <v>30</v>
      </c>
      <c r="I120" t="s">
        <v>27</v>
      </c>
      <c r="J120" t="s">
        <v>41</v>
      </c>
      <c r="K120" s="2">
        <v>110788.13</v>
      </c>
      <c r="L120" s="2">
        <v>73231.64</v>
      </c>
      <c r="M120" s="2">
        <v>37556.49</v>
      </c>
      <c r="N120" s="2">
        <v>4345.97</v>
      </c>
      <c r="O120" s="2">
        <v>33210.519999999997</v>
      </c>
      <c r="P120" s="3">
        <v>29.98</v>
      </c>
      <c r="Q120" s="2">
        <v>3840221.27</v>
      </c>
      <c r="R120" s="2">
        <v>998763.36</v>
      </c>
      <c r="S120" s="2">
        <v>2841457.91</v>
      </c>
      <c r="T120" s="2">
        <v>31597.07</v>
      </c>
      <c r="U120" s="2">
        <v>8021.26</v>
      </c>
      <c r="V120" s="2">
        <v>16389.29</v>
      </c>
      <c r="W120" s="2">
        <v>56007.62</v>
      </c>
    </row>
    <row r="121" spans="1:23" ht="15.75" customHeight="1">
      <c r="A121">
        <v>250</v>
      </c>
      <c r="B121" s="1">
        <v>44638</v>
      </c>
      <c r="C121" t="s">
        <v>55</v>
      </c>
      <c r="D121">
        <v>1</v>
      </c>
      <c r="E121" t="s">
        <v>45</v>
      </c>
      <c r="F121">
        <v>3</v>
      </c>
      <c r="G121" t="s">
        <v>40</v>
      </c>
      <c r="H121" t="s">
        <v>36</v>
      </c>
      <c r="I121" t="s">
        <v>27</v>
      </c>
      <c r="J121" t="s">
        <v>32</v>
      </c>
      <c r="K121" s="2">
        <v>108559.66</v>
      </c>
      <c r="L121" s="2">
        <v>60197.94</v>
      </c>
      <c r="M121" s="2">
        <v>48361.72</v>
      </c>
      <c r="N121" s="2">
        <v>7364.95</v>
      </c>
      <c r="O121" s="2">
        <v>40996.769999999997</v>
      </c>
      <c r="P121" s="3">
        <v>37.76</v>
      </c>
      <c r="Q121" s="2">
        <v>669069.91</v>
      </c>
      <c r="R121" s="2">
        <v>201488.21</v>
      </c>
      <c r="S121" s="2">
        <v>467581.7</v>
      </c>
      <c r="T121" s="2">
        <v>72240.509999999995</v>
      </c>
      <c r="U121" s="2">
        <v>-69998.84</v>
      </c>
      <c r="V121" s="2">
        <v>1656.58</v>
      </c>
      <c r="W121" s="2">
        <v>3898.25</v>
      </c>
    </row>
    <row r="122" spans="1:23" ht="15.75" customHeight="1">
      <c r="A122">
        <v>521</v>
      </c>
      <c r="B122" s="1">
        <v>44640</v>
      </c>
      <c r="C122" t="s">
        <v>55</v>
      </c>
      <c r="D122">
        <v>1</v>
      </c>
      <c r="E122" t="s">
        <v>45</v>
      </c>
      <c r="F122">
        <v>3</v>
      </c>
      <c r="G122" t="s">
        <v>29</v>
      </c>
      <c r="H122" t="s">
        <v>30</v>
      </c>
      <c r="I122" t="s">
        <v>35</v>
      </c>
      <c r="J122" t="s">
        <v>44</v>
      </c>
      <c r="K122" s="2">
        <v>57537.3</v>
      </c>
      <c r="L122" s="2">
        <v>42687.1</v>
      </c>
      <c r="M122" s="2">
        <v>14850.2</v>
      </c>
      <c r="N122" s="2">
        <v>3143.45</v>
      </c>
      <c r="O122" s="2">
        <v>11706.75</v>
      </c>
      <c r="P122" s="3">
        <v>20.350000000000001</v>
      </c>
      <c r="Q122" s="2">
        <v>1479780.05</v>
      </c>
      <c r="R122" s="2">
        <v>737656.46</v>
      </c>
      <c r="S122" s="2">
        <v>742123.59</v>
      </c>
      <c r="T122" s="2">
        <v>-14446.93</v>
      </c>
      <c r="U122" s="2">
        <v>-21642.54</v>
      </c>
      <c r="V122" s="2">
        <v>-38535.29</v>
      </c>
      <c r="W122" s="2">
        <v>-74624.759999999995</v>
      </c>
    </row>
    <row r="123" spans="1:23" ht="15.75" customHeight="1">
      <c r="A123">
        <v>341</v>
      </c>
      <c r="B123" s="1">
        <v>44649</v>
      </c>
      <c r="C123" t="s">
        <v>55</v>
      </c>
      <c r="D123">
        <v>1</v>
      </c>
      <c r="E123" t="s">
        <v>45</v>
      </c>
      <c r="F123">
        <v>3</v>
      </c>
      <c r="G123" t="s">
        <v>25</v>
      </c>
      <c r="H123" t="s">
        <v>36</v>
      </c>
      <c r="I123" t="s">
        <v>35</v>
      </c>
      <c r="J123" t="s">
        <v>39</v>
      </c>
      <c r="K123" s="2">
        <v>96164.22</v>
      </c>
      <c r="L123" s="2">
        <v>54065.04</v>
      </c>
      <c r="M123" s="2">
        <v>42099.18</v>
      </c>
      <c r="N123" s="2">
        <v>10042.1</v>
      </c>
      <c r="O123" s="2">
        <v>32057.08</v>
      </c>
      <c r="P123" s="3">
        <v>33.340000000000003</v>
      </c>
      <c r="Q123" s="2">
        <v>1033896.95</v>
      </c>
      <c r="R123" s="2">
        <v>644634.51</v>
      </c>
      <c r="S123" s="2">
        <v>389262.44</v>
      </c>
      <c r="T123" s="2">
        <v>56766.400000000001</v>
      </c>
      <c r="U123" s="2">
        <v>-16842.78</v>
      </c>
      <c r="V123" s="2">
        <v>-36734.089999999997</v>
      </c>
      <c r="W123" s="2">
        <v>3189.53</v>
      </c>
    </row>
    <row r="124" spans="1:23" ht="15.75" customHeight="1">
      <c r="A124">
        <v>416</v>
      </c>
      <c r="B124" s="1">
        <v>44649</v>
      </c>
      <c r="C124" t="s">
        <v>55</v>
      </c>
      <c r="D124">
        <v>1</v>
      </c>
      <c r="E124" t="s">
        <v>45</v>
      </c>
      <c r="F124">
        <v>3</v>
      </c>
      <c r="G124" t="s">
        <v>40</v>
      </c>
      <c r="H124" t="s">
        <v>34</v>
      </c>
      <c r="I124" t="s">
        <v>38</v>
      </c>
      <c r="J124" t="s">
        <v>29</v>
      </c>
      <c r="K124" s="2">
        <v>75178.28</v>
      </c>
      <c r="L124" s="2">
        <v>55114.83</v>
      </c>
      <c r="M124" s="2">
        <v>20063.45</v>
      </c>
      <c r="N124" s="2">
        <v>2093.37</v>
      </c>
      <c r="O124" s="2">
        <v>17970.080000000002</v>
      </c>
      <c r="P124" s="3">
        <v>23.9</v>
      </c>
      <c r="Q124" s="2">
        <v>3459722.66</v>
      </c>
      <c r="R124" s="2">
        <v>1752790.39</v>
      </c>
      <c r="S124" s="2">
        <v>1706932.27</v>
      </c>
      <c r="T124" s="2">
        <v>-9984.34</v>
      </c>
      <c r="U124" s="2">
        <v>8797.01</v>
      </c>
      <c r="V124" s="2">
        <v>50324.81</v>
      </c>
      <c r="W124" s="2">
        <v>49137.48</v>
      </c>
    </row>
    <row r="125" spans="1:23" ht="15.75" customHeight="1">
      <c r="A125">
        <v>600</v>
      </c>
      <c r="B125" s="1">
        <v>44649</v>
      </c>
      <c r="C125" t="s">
        <v>55</v>
      </c>
      <c r="D125">
        <v>1</v>
      </c>
      <c r="E125" t="s">
        <v>45</v>
      </c>
      <c r="F125">
        <v>3</v>
      </c>
      <c r="G125" t="s">
        <v>40</v>
      </c>
      <c r="H125" t="s">
        <v>30</v>
      </c>
      <c r="I125" t="s">
        <v>27</v>
      </c>
      <c r="J125" t="s">
        <v>32</v>
      </c>
      <c r="K125" s="2">
        <v>175417.98</v>
      </c>
      <c r="L125" s="2">
        <v>86232.46</v>
      </c>
      <c r="M125" s="2">
        <v>89185.52</v>
      </c>
      <c r="N125" s="2">
        <v>11205.79</v>
      </c>
      <c r="O125" s="2">
        <v>77979.73</v>
      </c>
      <c r="P125" s="3">
        <v>44.45</v>
      </c>
      <c r="Q125" s="2">
        <v>2715807.92</v>
      </c>
      <c r="R125" s="2">
        <v>1587910.82</v>
      </c>
      <c r="S125" s="2">
        <v>1127897.1000000001</v>
      </c>
      <c r="T125" s="2">
        <v>61073.78</v>
      </c>
      <c r="U125" s="2">
        <v>-42304.54</v>
      </c>
      <c r="V125" s="2">
        <v>-33420.18</v>
      </c>
      <c r="W125" s="2">
        <v>-14650.94</v>
      </c>
    </row>
    <row r="126" spans="1:23" ht="15.75" customHeight="1">
      <c r="A126">
        <v>103</v>
      </c>
      <c r="B126" s="1">
        <v>44652</v>
      </c>
      <c r="C126" t="s">
        <v>55</v>
      </c>
      <c r="D126">
        <v>2</v>
      </c>
      <c r="E126" t="s">
        <v>46</v>
      </c>
      <c r="F126">
        <v>4</v>
      </c>
      <c r="G126" t="s">
        <v>40</v>
      </c>
      <c r="H126" t="s">
        <v>34</v>
      </c>
      <c r="I126" t="s">
        <v>31</v>
      </c>
      <c r="J126" t="s">
        <v>41</v>
      </c>
      <c r="K126" s="2">
        <v>126794.18</v>
      </c>
      <c r="L126" s="2">
        <v>72313.3</v>
      </c>
      <c r="M126" s="2">
        <v>54480.88</v>
      </c>
      <c r="N126" s="2">
        <v>11522.18</v>
      </c>
      <c r="O126" s="2">
        <v>42958.7</v>
      </c>
      <c r="P126" s="3">
        <v>33.880000000000003</v>
      </c>
      <c r="Q126" s="2">
        <v>1088931.47</v>
      </c>
      <c r="R126" s="2">
        <v>694660.33</v>
      </c>
      <c r="S126" s="2">
        <v>394271.14</v>
      </c>
      <c r="T126" s="2">
        <v>49261.86</v>
      </c>
      <c r="U126" s="2">
        <v>-46394.95</v>
      </c>
      <c r="V126" s="2">
        <v>-32650.33</v>
      </c>
      <c r="W126" s="2">
        <v>-29783.42</v>
      </c>
    </row>
    <row r="127" spans="1:23" ht="15.75" customHeight="1">
      <c r="A127">
        <v>393</v>
      </c>
      <c r="B127" s="1">
        <v>44656</v>
      </c>
      <c r="C127" t="s">
        <v>55</v>
      </c>
      <c r="D127">
        <v>2</v>
      </c>
      <c r="E127" t="s">
        <v>46</v>
      </c>
      <c r="F127">
        <v>4</v>
      </c>
      <c r="G127" t="s">
        <v>29</v>
      </c>
      <c r="H127" t="s">
        <v>34</v>
      </c>
      <c r="I127" t="s">
        <v>38</v>
      </c>
      <c r="J127" t="s">
        <v>44</v>
      </c>
      <c r="K127" s="2">
        <v>53591.15</v>
      </c>
      <c r="L127" s="2">
        <v>28127.25</v>
      </c>
      <c r="M127" s="2">
        <v>25463.9</v>
      </c>
      <c r="N127" s="2">
        <v>3711.11</v>
      </c>
      <c r="O127" s="2">
        <v>21752.79</v>
      </c>
      <c r="P127" s="3">
        <v>40.590000000000003</v>
      </c>
      <c r="Q127" s="2">
        <v>730175.93</v>
      </c>
      <c r="R127" s="2">
        <v>298727.65999999997</v>
      </c>
      <c r="S127" s="2">
        <v>431448.27</v>
      </c>
      <c r="T127" s="2">
        <v>32689.39</v>
      </c>
      <c r="U127" s="2">
        <v>-21670.57</v>
      </c>
      <c r="V127" s="2">
        <v>-1721.59</v>
      </c>
      <c r="W127" s="2">
        <v>9297.23</v>
      </c>
    </row>
    <row r="128" spans="1:23" ht="15.75" customHeight="1">
      <c r="A128">
        <v>33</v>
      </c>
      <c r="B128" s="1">
        <v>44656</v>
      </c>
      <c r="C128" t="s">
        <v>55</v>
      </c>
      <c r="D128">
        <v>2</v>
      </c>
      <c r="E128" t="s">
        <v>46</v>
      </c>
      <c r="F128">
        <v>4</v>
      </c>
      <c r="G128" t="s">
        <v>25</v>
      </c>
      <c r="H128" t="s">
        <v>34</v>
      </c>
      <c r="I128" t="s">
        <v>35</v>
      </c>
      <c r="J128" t="s">
        <v>37</v>
      </c>
      <c r="K128" s="2">
        <v>63123.45</v>
      </c>
      <c r="L128" s="2">
        <v>32158.37</v>
      </c>
      <c r="M128" s="2">
        <v>30965.08</v>
      </c>
      <c r="N128" s="2">
        <v>3459.31</v>
      </c>
      <c r="O128" s="2">
        <v>27505.77</v>
      </c>
      <c r="P128" s="3">
        <v>43.57</v>
      </c>
      <c r="Q128" s="2">
        <v>1782928.26</v>
      </c>
      <c r="R128" s="2">
        <v>569377.14</v>
      </c>
      <c r="S128" s="2">
        <v>1213551.1200000001</v>
      </c>
      <c r="T128" s="2">
        <v>69247</v>
      </c>
      <c r="U128" s="2">
        <v>-61976.63</v>
      </c>
      <c r="V128" s="2">
        <v>12451.14</v>
      </c>
      <c r="W128" s="2">
        <v>19721.509999999998</v>
      </c>
    </row>
    <row r="129" spans="1:23" ht="15.75" customHeight="1">
      <c r="A129">
        <v>302</v>
      </c>
      <c r="B129" s="1">
        <v>44660</v>
      </c>
      <c r="C129" t="s">
        <v>55</v>
      </c>
      <c r="D129">
        <v>2</v>
      </c>
      <c r="E129" t="s">
        <v>46</v>
      </c>
      <c r="F129">
        <v>4</v>
      </c>
      <c r="G129" t="s">
        <v>37</v>
      </c>
      <c r="H129" t="s">
        <v>26</v>
      </c>
      <c r="I129" t="s">
        <v>35</v>
      </c>
      <c r="J129" t="s">
        <v>28</v>
      </c>
      <c r="K129" s="2">
        <v>121815.18</v>
      </c>
      <c r="L129" s="2">
        <v>93778.23</v>
      </c>
      <c r="M129" s="2">
        <v>28036.95</v>
      </c>
      <c r="N129" s="2">
        <v>5040.46</v>
      </c>
      <c r="O129" s="2">
        <v>22996.49</v>
      </c>
      <c r="P129" s="3">
        <v>18.88</v>
      </c>
      <c r="Q129" s="2">
        <v>3114276.71</v>
      </c>
      <c r="R129" s="2">
        <v>2012668.79</v>
      </c>
      <c r="S129" s="2">
        <v>1101607.92</v>
      </c>
      <c r="T129" s="2">
        <v>53534.9</v>
      </c>
      <c r="U129" s="2">
        <v>-25770.62</v>
      </c>
      <c r="V129" s="2">
        <v>30739.7</v>
      </c>
      <c r="W129" s="2">
        <v>58503.98</v>
      </c>
    </row>
    <row r="130" spans="1:23" ht="15.75" customHeight="1">
      <c r="A130">
        <v>11</v>
      </c>
      <c r="B130" s="1">
        <v>44663</v>
      </c>
      <c r="C130" t="s">
        <v>55</v>
      </c>
      <c r="D130">
        <v>2</v>
      </c>
      <c r="E130" t="s">
        <v>46</v>
      </c>
      <c r="F130">
        <v>4</v>
      </c>
      <c r="G130" t="s">
        <v>40</v>
      </c>
      <c r="H130" t="s">
        <v>34</v>
      </c>
      <c r="I130" t="s">
        <v>38</v>
      </c>
      <c r="J130" t="s">
        <v>28</v>
      </c>
      <c r="K130" s="2">
        <v>38149.85</v>
      </c>
      <c r="L130" s="2">
        <v>31094.29</v>
      </c>
      <c r="M130" s="2">
        <v>7055.56</v>
      </c>
      <c r="N130" s="2">
        <v>1013.36</v>
      </c>
      <c r="O130" s="2">
        <v>6042.2</v>
      </c>
      <c r="P130" s="3">
        <v>15.84</v>
      </c>
      <c r="Q130" s="2">
        <v>2167889.66</v>
      </c>
      <c r="R130" s="2">
        <v>1246796.33</v>
      </c>
      <c r="S130" s="2">
        <v>921093.33</v>
      </c>
      <c r="T130" s="2">
        <v>51822.09</v>
      </c>
      <c r="U130" s="2">
        <v>28600.11</v>
      </c>
      <c r="V130" s="2">
        <v>35337.82</v>
      </c>
      <c r="W130" s="2">
        <v>115760.02</v>
      </c>
    </row>
    <row r="131" spans="1:23" ht="15.75" customHeight="1">
      <c r="A131">
        <v>395</v>
      </c>
      <c r="B131" s="1">
        <v>44666</v>
      </c>
      <c r="C131" t="s">
        <v>55</v>
      </c>
      <c r="D131">
        <v>2</v>
      </c>
      <c r="E131" t="s">
        <v>46</v>
      </c>
      <c r="F131">
        <v>4</v>
      </c>
      <c r="G131" t="s">
        <v>33</v>
      </c>
      <c r="H131" t="s">
        <v>34</v>
      </c>
      <c r="I131" t="s">
        <v>31</v>
      </c>
      <c r="J131" t="s">
        <v>39</v>
      </c>
      <c r="K131" s="2">
        <v>108896.87</v>
      </c>
      <c r="L131" s="2">
        <v>75014.880000000005</v>
      </c>
      <c r="M131" s="2">
        <v>33881.99</v>
      </c>
      <c r="N131" s="2">
        <v>2973.13</v>
      </c>
      <c r="O131" s="2">
        <v>30908.86</v>
      </c>
      <c r="P131" s="3">
        <v>28.38</v>
      </c>
      <c r="Q131" s="2">
        <v>4756869</v>
      </c>
      <c r="R131" s="2">
        <v>2791645.4</v>
      </c>
      <c r="S131" s="2">
        <v>1965223.6</v>
      </c>
      <c r="T131" s="2">
        <v>24637.86</v>
      </c>
      <c r="U131" s="2">
        <v>-62281.25</v>
      </c>
      <c r="V131" s="2">
        <v>-23011.29</v>
      </c>
      <c r="W131" s="2">
        <v>-60654.68</v>
      </c>
    </row>
    <row r="132" spans="1:23" ht="15.75" customHeight="1">
      <c r="A132">
        <v>496</v>
      </c>
      <c r="B132" s="1">
        <v>44667</v>
      </c>
      <c r="C132" t="s">
        <v>55</v>
      </c>
      <c r="D132">
        <v>2</v>
      </c>
      <c r="E132" t="s">
        <v>46</v>
      </c>
      <c r="F132">
        <v>4</v>
      </c>
      <c r="G132" t="s">
        <v>37</v>
      </c>
      <c r="H132" t="s">
        <v>34</v>
      </c>
      <c r="I132" t="s">
        <v>38</v>
      </c>
      <c r="J132" t="s">
        <v>37</v>
      </c>
      <c r="K132" s="2">
        <v>143397.76000000001</v>
      </c>
      <c r="L132" s="2">
        <v>91804.72</v>
      </c>
      <c r="M132" s="2">
        <v>51593.04</v>
      </c>
      <c r="N132" s="2">
        <v>10963.11</v>
      </c>
      <c r="O132" s="2">
        <v>40629.93</v>
      </c>
      <c r="P132" s="3">
        <v>28.33</v>
      </c>
      <c r="Q132" s="2">
        <v>2851235.64</v>
      </c>
      <c r="R132" s="2">
        <v>1443894.08</v>
      </c>
      <c r="S132" s="2">
        <v>1407341.56</v>
      </c>
      <c r="T132" s="2">
        <v>73536.460000000006</v>
      </c>
      <c r="U132" s="2">
        <v>-29489.19</v>
      </c>
      <c r="V132" s="2">
        <v>-39729.19</v>
      </c>
      <c r="W132" s="2">
        <v>4318.08</v>
      </c>
    </row>
    <row r="133" spans="1:23" ht="15.75" customHeight="1">
      <c r="A133">
        <v>323</v>
      </c>
      <c r="B133" s="1">
        <v>44669</v>
      </c>
      <c r="C133" t="s">
        <v>55</v>
      </c>
      <c r="D133">
        <v>2</v>
      </c>
      <c r="E133" t="s">
        <v>46</v>
      </c>
      <c r="F133">
        <v>4</v>
      </c>
      <c r="G133" t="s">
        <v>25</v>
      </c>
      <c r="H133" t="s">
        <v>36</v>
      </c>
      <c r="I133" t="s">
        <v>27</v>
      </c>
      <c r="J133" t="s">
        <v>37</v>
      </c>
      <c r="K133" s="2">
        <v>100526.13</v>
      </c>
      <c r="L133" s="2">
        <v>61229.919999999998</v>
      </c>
      <c r="M133" s="2">
        <v>39296.21</v>
      </c>
      <c r="N133" s="2">
        <v>7131.27</v>
      </c>
      <c r="O133" s="2">
        <v>32164.94</v>
      </c>
      <c r="P133" s="3">
        <v>32</v>
      </c>
      <c r="Q133" s="2">
        <v>4998009.66</v>
      </c>
      <c r="R133" s="2">
        <v>2787787.62</v>
      </c>
      <c r="S133" s="2">
        <v>2210222.04</v>
      </c>
      <c r="T133" s="2">
        <v>33994.199999999997</v>
      </c>
      <c r="U133" s="2">
        <v>12755.31</v>
      </c>
      <c r="V133" s="2">
        <v>-22929.16</v>
      </c>
      <c r="W133" s="2">
        <v>23820.35</v>
      </c>
    </row>
    <row r="134" spans="1:23" ht="15.75" customHeight="1">
      <c r="A134">
        <v>40</v>
      </c>
      <c r="B134" s="1">
        <v>44671</v>
      </c>
      <c r="C134" t="s">
        <v>55</v>
      </c>
      <c r="D134">
        <v>2</v>
      </c>
      <c r="E134" t="s">
        <v>46</v>
      </c>
      <c r="F134">
        <v>4</v>
      </c>
      <c r="G134" t="s">
        <v>29</v>
      </c>
      <c r="H134" t="s">
        <v>36</v>
      </c>
      <c r="I134" t="s">
        <v>27</v>
      </c>
      <c r="J134" t="s">
        <v>28</v>
      </c>
      <c r="K134" s="2">
        <v>135636.28</v>
      </c>
      <c r="L134" s="2">
        <v>106186.52</v>
      </c>
      <c r="M134" s="2">
        <v>29449.759999999998</v>
      </c>
      <c r="N134" s="2">
        <v>5480.52</v>
      </c>
      <c r="O134" s="2">
        <v>23969.24</v>
      </c>
      <c r="P134" s="3">
        <v>17.670000000000002</v>
      </c>
      <c r="Q134" s="2">
        <v>2929014.78</v>
      </c>
      <c r="R134" s="2">
        <v>1246289.55</v>
      </c>
      <c r="S134" s="2">
        <v>1682725.23</v>
      </c>
      <c r="T134" s="2">
        <v>40168.14</v>
      </c>
      <c r="U134" s="2">
        <v>-34463.75</v>
      </c>
      <c r="V134" s="2">
        <v>-851.79</v>
      </c>
      <c r="W134" s="2">
        <v>4852.6000000000004</v>
      </c>
    </row>
    <row r="135" spans="1:23" ht="15.75" customHeight="1">
      <c r="A135">
        <v>429</v>
      </c>
      <c r="B135" s="1">
        <v>44673</v>
      </c>
      <c r="C135" t="s">
        <v>55</v>
      </c>
      <c r="D135">
        <v>2</v>
      </c>
      <c r="E135" t="s">
        <v>46</v>
      </c>
      <c r="F135">
        <v>4</v>
      </c>
      <c r="G135" t="s">
        <v>25</v>
      </c>
      <c r="H135" t="s">
        <v>34</v>
      </c>
      <c r="I135" t="s">
        <v>31</v>
      </c>
      <c r="J135" t="s">
        <v>39</v>
      </c>
      <c r="K135" s="2">
        <v>136401.31</v>
      </c>
      <c r="L135" s="2">
        <v>66962.59</v>
      </c>
      <c r="M135" s="2">
        <v>69438.720000000001</v>
      </c>
      <c r="N135" s="2">
        <v>5975.23</v>
      </c>
      <c r="O135" s="2">
        <v>63463.49</v>
      </c>
      <c r="P135" s="3">
        <v>46.53</v>
      </c>
      <c r="Q135" s="2">
        <v>4974486.3600000003</v>
      </c>
      <c r="R135" s="2">
        <v>1706703.19</v>
      </c>
      <c r="S135" s="2">
        <v>3267783.17</v>
      </c>
      <c r="T135" s="2">
        <v>37769.93</v>
      </c>
      <c r="U135" s="2">
        <v>-51012.47</v>
      </c>
      <c r="V135" s="2">
        <v>-36104.22</v>
      </c>
      <c r="W135" s="2">
        <v>-49346.76</v>
      </c>
    </row>
    <row r="136" spans="1:23" ht="15.75" customHeight="1">
      <c r="A136">
        <v>189</v>
      </c>
      <c r="B136" s="1">
        <v>44681</v>
      </c>
      <c r="C136" t="s">
        <v>55</v>
      </c>
      <c r="D136">
        <v>2</v>
      </c>
      <c r="E136" t="s">
        <v>46</v>
      </c>
      <c r="F136">
        <v>4</v>
      </c>
      <c r="G136" t="s">
        <v>40</v>
      </c>
      <c r="H136" t="s">
        <v>26</v>
      </c>
      <c r="I136" t="s">
        <v>31</v>
      </c>
      <c r="J136" t="s">
        <v>32</v>
      </c>
      <c r="K136" s="2">
        <v>146946.29999999999</v>
      </c>
      <c r="L136" s="2">
        <v>118906.52</v>
      </c>
      <c r="M136" s="2">
        <v>28039.78</v>
      </c>
      <c r="N136" s="2">
        <v>3495.29</v>
      </c>
      <c r="O136" s="2">
        <v>24544.49</v>
      </c>
      <c r="P136" s="3">
        <v>16.7</v>
      </c>
      <c r="Q136" s="2">
        <v>1722059.44</v>
      </c>
      <c r="R136" s="2">
        <v>756257.65</v>
      </c>
      <c r="S136" s="2">
        <v>965801.79</v>
      </c>
      <c r="T136" s="2">
        <v>73251.72</v>
      </c>
      <c r="U136" s="2">
        <v>-43104.11</v>
      </c>
      <c r="V136" s="2">
        <v>697.19</v>
      </c>
      <c r="W136" s="2">
        <v>30844.799999999999</v>
      </c>
    </row>
    <row r="137" spans="1:23" ht="15.75" customHeight="1">
      <c r="A137">
        <v>573</v>
      </c>
      <c r="B137" s="1">
        <v>44684</v>
      </c>
      <c r="C137" t="s">
        <v>55</v>
      </c>
      <c r="D137">
        <v>2</v>
      </c>
      <c r="E137" t="s">
        <v>47</v>
      </c>
      <c r="F137">
        <v>5</v>
      </c>
      <c r="G137" t="s">
        <v>33</v>
      </c>
      <c r="H137" t="s">
        <v>26</v>
      </c>
      <c r="I137" t="s">
        <v>31</v>
      </c>
      <c r="J137" t="s">
        <v>39</v>
      </c>
      <c r="K137" s="2">
        <v>99972.08</v>
      </c>
      <c r="L137" s="2">
        <v>56659.65</v>
      </c>
      <c r="M137" s="2">
        <v>43312.43</v>
      </c>
      <c r="N137" s="2">
        <v>9274.09</v>
      </c>
      <c r="O137" s="2">
        <v>34038.339999999997</v>
      </c>
      <c r="P137" s="3">
        <v>34.049999999999997</v>
      </c>
      <c r="Q137" s="2">
        <v>3568034.74</v>
      </c>
      <c r="R137" s="2">
        <v>2160448.58</v>
      </c>
      <c r="S137" s="2">
        <v>1407586.16</v>
      </c>
      <c r="T137" s="2">
        <v>59439.46</v>
      </c>
      <c r="U137" s="2">
        <v>-45647.17</v>
      </c>
      <c r="V137" s="2">
        <v>53165.919999999998</v>
      </c>
      <c r="W137" s="2">
        <v>66958.210000000006</v>
      </c>
    </row>
    <row r="138" spans="1:23" ht="15.75" customHeight="1">
      <c r="A138">
        <v>315</v>
      </c>
      <c r="B138" s="1">
        <v>44685</v>
      </c>
      <c r="C138" t="s">
        <v>55</v>
      </c>
      <c r="D138">
        <v>2</v>
      </c>
      <c r="E138" t="s">
        <v>47</v>
      </c>
      <c r="F138">
        <v>5</v>
      </c>
      <c r="G138" t="s">
        <v>25</v>
      </c>
      <c r="H138" t="s">
        <v>26</v>
      </c>
      <c r="I138" t="s">
        <v>35</v>
      </c>
      <c r="J138" t="s">
        <v>32</v>
      </c>
      <c r="K138" s="2">
        <v>68697.45</v>
      </c>
      <c r="L138" s="2">
        <v>40161.19</v>
      </c>
      <c r="M138" s="2">
        <v>28536.26</v>
      </c>
      <c r="N138" s="2">
        <v>3208.14</v>
      </c>
      <c r="O138" s="2">
        <v>25328.12</v>
      </c>
      <c r="P138" s="3">
        <v>36.869999999999997</v>
      </c>
      <c r="Q138" s="2">
        <v>2061780.66</v>
      </c>
      <c r="R138" s="2">
        <v>966758.66</v>
      </c>
      <c r="S138" s="2">
        <v>1095022</v>
      </c>
      <c r="T138" s="2">
        <v>74669.95</v>
      </c>
      <c r="U138" s="2">
        <v>-3579.83</v>
      </c>
      <c r="V138" s="2">
        <v>-20075.400000000001</v>
      </c>
      <c r="W138" s="2">
        <v>51014.720000000001</v>
      </c>
    </row>
    <row r="139" spans="1:23" ht="15.75" customHeight="1">
      <c r="A139">
        <v>469</v>
      </c>
      <c r="B139" s="1">
        <v>44686</v>
      </c>
      <c r="C139" t="s">
        <v>55</v>
      </c>
      <c r="D139">
        <v>2</v>
      </c>
      <c r="E139" t="s">
        <v>47</v>
      </c>
      <c r="F139">
        <v>5</v>
      </c>
      <c r="G139" t="s">
        <v>43</v>
      </c>
      <c r="H139" t="s">
        <v>26</v>
      </c>
      <c r="I139" t="s">
        <v>31</v>
      </c>
      <c r="J139" t="s">
        <v>32</v>
      </c>
      <c r="K139" s="2">
        <v>136481.32999999999</v>
      </c>
      <c r="L139" s="2">
        <v>75129.38</v>
      </c>
      <c r="M139" s="2">
        <v>61351.95</v>
      </c>
      <c r="N139" s="2">
        <v>8206.23</v>
      </c>
      <c r="O139" s="2">
        <v>53145.72</v>
      </c>
      <c r="P139" s="3">
        <v>38.94</v>
      </c>
      <c r="Q139" s="2">
        <v>4302368.84</v>
      </c>
      <c r="R139" s="2">
        <v>1895317.99</v>
      </c>
      <c r="S139" s="2">
        <v>2407050.85</v>
      </c>
      <c r="T139" s="2">
        <v>76726.080000000002</v>
      </c>
      <c r="U139" s="2">
        <v>-29762.69</v>
      </c>
      <c r="V139" s="2">
        <v>-10199.31</v>
      </c>
      <c r="W139" s="2">
        <v>36764.080000000002</v>
      </c>
    </row>
    <row r="140" spans="1:23" ht="15.75" customHeight="1">
      <c r="A140">
        <v>121</v>
      </c>
      <c r="B140" s="1">
        <v>44689</v>
      </c>
      <c r="C140" t="s">
        <v>55</v>
      </c>
      <c r="D140">
        <v>2</v>
      </c>
      <c r="E140" t="s">
        <v>47</v>
      </c>
      <c r="F140">
        <v>5</v>
      </c>
      <c r="G140" t="s">
        <v>37</v>
      </c>
      <c r="H140" t="s">
        <v>36</v>
      </c>
      <c r="I140" t="s">
        <v>27</v>
      </c>
      <c r="J140" t="s">
        <v>39</v>
      </c>
      <c r="K140" s="2">
        <v>51042.2</v>
      </c>
      <c r="L140" s="2">
        <v>36885.300000000003</v>
      </c>
      <c r="M140" s="2">
        <v>14156.9</v>
      </c>
      <c r="N140" s="2">
        <v>3209.02</v>
      </c>
      <c r="O140" s="2">
        <v>10947.88</v>
      </c>
      <c r="P140" s="3">
        <v>21.45</v>
      </c>
      <c r="Q140" s="2">
        <v>1475329.1</v>
      </c>
      <c r="R140" s="2">
        <v>425316.46</v>
      </c>
      <c r="S140" s="2">
        <v>1050012.6399999999</v>
      </c>
      <c r="T140" s="2">
        <v>-17161.03</v>
      </c>
      <c r="U140" s="2">
        <v>-5802.85</v>
      </c>
      <c r="V140" s="2">
        <v>20709.400000000001</v>
      </c>
      <c r="W140" s="2">
        <v>-2254.48</v>
      </c>
    </row>
    <row r="141" spans="1:23" ht="15.75" customHeight="1">
      <c r="A141">
        <v>438</v>
      </c>
      <c r="B141" s="1">
        <v>44693</v>
      </c>
      <c r="C141" t="s">
        <v>55</v>
      </c>
      <c r="D141">
        <v>2</v>
      </c>
      <c r="E141" t="s">
        <v>47</v>
      </c>
      <c r="F141">
        <v>5</v>
      </c>
      <c r="G141" t="s">
        <v>29</v>
      </c>
      <c r="H141" t="s">
        <v>26</v>
      </c>
      <c r="I141" t="s">
        <v>38</v>
      </c>
      <c r="J141" t="s">
        <v>37</v>
      </c>
      <c r="K141" s="2">
        <v>139617.73000000001</v>
      </c>
      <c r="L141" s="2">
        <v>96175.35</v>
      </c>
      <c r="M141" s="2">
        <v>43442.38</v>
      </c>
      <c r="N141" s="2">
        <v>4625.8100000000004</v>
      </c>
      <c r="O141" s="2">
        <v>38816.57</v>
      </c>
      <c r="P141" s="3">
        <v>27.8</v>
      </c>
      <c r="Q141" s="2">
        <v>2961704.06</v>
      </c>
      <c r="R141" s="2">
        <v>844022.28</v>
      </c>
      <c r="S141" s="2">
        <v>2117681.7799999998</v>
      </c>
      <c r="T141" s="2">
        <v>39005.620000000003</v>
      </c>
      <c r="U141" s="2">
        <v>-28648.35</v>
      </c>
      <c r="V141" s="2">
        <v>-36018.86</v>
      </c>
      <c r="W141" s="2">
        <v>-25661.59</v>
      </c>
    </row>
    <row r="142" spans="1:23" ht="15.75" customHeight="1">
      <c r="A142">
        <v>169</v>
      </c>
      <c r="B142" s="1">
        <v>44699</v>
      </c>
      <c r="C142" t="s">
        <v>55</v>
      </c>
      <c r="D142">
        <v>2</v>
      </c>
      <c r="E142" t="s">
        <v>47</v>
      </c>
      <c r="F142">
        <v>5</v>
      </c>
      <c r="G142" t="s">
        <v>25</v>
      </c>
      <c r="H142" t="s">
        <v>30</v>
      </c>
      <c r="I142" t="s">
        <v>31</v>
      </c>
      <c r="J142" t="s">
        <v>44</v>
      </c>
      <c r="K142" s="2">
        <v>146873.12</v>
      </c>
      <c r="L142" s="2">
        <v>77035.63</v>
      </c>
      <c r="M142" s="2">
        <v>69837.490000000005</v>
      </c>
      <c r="N142" s="2">
        <v>8657.44</v>
      </c>
      <c r="O142" s="2">
        <v>61180.05</v>
      </c>
      <c r="P142" s="3">
        <v>41.66</v>
      </c>
      <c r="Q142" s="2">
        <v>1241178.5900000001</v>
      </c>
      <c r="R142" s="2">
        <v>474236.99</v>
      </c>
      <c r="S142" s="2">
        <v>766941.6</v>
      </c>
      <c r="T142" s="2">
        <v>91720.17</v>
      </c>
      <c r="U142" s="2">
        <v>-18061.41</v>
      </c>
      <c r="V142" s="2">
        <v>-19511.87</v>
      </c>
      <c r="W142" s="2">
        <v>54146.89</v>
      </c>
    </row>
    <row r="143" spans="1:23" ht="15.75" customHeight="1">
      <c r="A143">
        <v>152</v>
      </c>
      <c r="B143" s="1">
        <v>44699</v>
      </c>
      <c r="C143" t="s">
        <v>55</v>
      </c>
      <c r="D143">
        <v>2</v>
      </c>
      <c r="E143" t="s">
        <v>47</v>
      </c>
      <c r="F143">
        <v>5</v>
      </c>
      <c r="G143" t="s">
        <v>25</v>
      </c>
      <c r="H143" t="s">
        <v>26</v>
      </c>
      <c r="I143" t="s">
        <v>35</v>
      </c>
      <c r="J143" t="s">
        <v>44</v>
      </c>
      <c r="K143" s="2">
        <v>87231.62</v>
      </c>
      <c r="L143" s="2">
        <v>65077.08</v>
      </c>
      <c r="M143" s="2">
        <v>22154.54</v>
      </c>
      <c r="N143" s="2">
        <v>2540.8200000000002</v>
      </c>
      <c r="O143" s="2">
        <v>19613.72</v>
      </c>
      <c r="P143" s="3">
        <v>22.48</v>
      </c>
      <c r="Q143" s="2">
        <v>2997882.27</v>
      </c>
      <c r="R143" s="2">
        <v>1628535.14</v>
      </c>
      <c r="S143" s="2">
        <v>1369347.13</v>
      </c>
      <c r="T143" s="2">
        <v>38892.559999999998</v>
      </c>
      <c r="U143" s="2">
        <v>-51197.53</v>
      </c>
      <c r="V143" s="2">
        <v>-4461.54</v>
      </c>
      <c r="W143" s="2">
        <v>-16766.509999999998</v>
      </c>
    </row>
    <row r="144" spans="1:23" ht="15.75" customHeight="1">
      <c r="A144">
        <v>79</v>
      </c>
      <c r="B144" s="1">
        <v>44705</v>
      </c>
      <c r="C144" t="s">
        <v>55</v>
      </c>
      <c r="D144">
        <v>2</v>
      </c>
      <c r="E144" t="s">
        <v>47</v>
      </c>
      <c r="F144">
        <v>5</v>
      </c>
      <c r="G144" t="s">
        <v>40</v>
      </c>
      <c r="H144" t="s">
        <v>34</v>
      </c>
      <c r="I144" t="s">
        <v>38</v>
      </c>
      <c r="J144" t="s">
        <v>44</v>
      </c>
      <c r="K144" s="2">
        <v>101747.71</v>
      </c>
      <c r="L144" s="2">
        <v>63878.95</v>
      </c>
      <c r="M144" s="2">
        <v>37868.76</v>
      </c>
      <c r="N144" s="2">
        <v>6843.24</v>
      </c>
      <c r="O144" s="2">
        <v>31025.52</v>
      </c>
      <c r="P144" s="3">
        <v>30.49</v>
      </c>
      <c r="Q144" s="2">
        <v>4211064.3499999996</v>
      </c>
      <c r="R144" s="2">
        <v>1638624.87</v>
      </c>
      <c r="S144" s="2">
        <v>2572439.48</v>
      </c>
      <c r="T144" s="2">
        <v>55266.81</v>
      </c>
      <c r="U144" s="2">
        <v>-13426.8</v>
      </c>
      <c r="V144" s="2">
        <v>-13297.17</v>
      </c>
      <c r="W144" s="2">
        <v>28542.84</v>
      </c>
    </row>
    <row r="145" spans="1:23" ht="15.75" customHeight="1">
      <c r="A145">
        <v>366</v>
      </c>
      <c r="B145" s="1">
        <v>44706</v>
      </c>
      <c r="C145" t="s">
        <v>55</v>
      </c>
      <c r="D145">
        <v>2</v>
      </c>
      <c r="E145" t="s">
        <v>47</v>
      </c>
      <c r="F145">
        <v>5</v>
      </c>
      <c r="G145" t="s">
        <v>33</v>
      </c>
      <c r="H145" t="s">
        <v>36</v>
      </c>
      <c r="I145" t="s">
        <v>35</v>
      </c>
      <c r="J145" t="s">
        <v>44</v>
      </c>
      <c r="K145" s="2">
        <v>42583.33</v>
      </c>
      <c r="L145" s="2">
        <v>34869.629999999997</v>
      </c>
      <c r="M145" s="2">
        <v>7713.7</v>
      </c>
      <c r="N145" s="2">
        <v>857.66</v>
      </c>
      <c r="O145" s="2">
        <v>6856.04</v>
      </c>
      <c r="P145" s="3">
        <v>16.100000000000001</v>
      </c>
      <c r="Q145" s="2">
        <v>3173638.38</v>
      </c>
      <c r="R145" s="2">
        <v>1315631.25</v>
      </c>
      <c r="S145" s="2">
        <v>1858007.13</v>
      </c>
      <c r="T145" s="2">
        <v>-13033.05</v>
      </c>
      <c r="U145" s="2">
        <v>-67215.61</v>
      </c>
      <c r="V145" s="2">
        <v>22273.23</v>
      </c>
      <c r="W145" s="2">
        <v>-57975.43</v>
      </c>
    </row>
    <row r="146" spans="1:23" ht="15.75" customHeight="1">
      <c r="A146">
        <v>42</v>
      </c>
      <c r="B146" s="1">
        <v>44707</v>
      </c>
      <c r="C146" t="s">
        <v>55</v>
      </c>
      <c r="D146">
        <v>2</v>
      </c>
      <c r="E146" t="s">
        <v>47</v>
      </c>
      <c r="F146">
        <v>5</v>
      </c>
      <c r="G146" t="s">
        <v>29</v>
      </c>
      <c r="H146" t="s">
        <v>26</v>
      </c>
      <c r="I146" t="s">
        <v>31</v>
      </c>
      <c r="J146" t="s">
        <v>39</v>
      </c>
      <c r="K146" s="2">
        <v>179642.36</v>
      </c>
      <c r="L146" s="2">
        <v>130849.55</v>
      </c>
      <c r="M146" s="2">
        <v>48792.81</v>
      </c>
      <c r="N146" s="2">
        <v>9767.67</v>
      </c>
      <c r="O146" s="2">
        <v>39025.14</v>
      </c>
      <c r="P146" s="3">
        <v>21.72</v>
      </c>
      <c r="Q146" s="2">
        <v>4003573.73</v>
      </c>
      <c r="R146" s="2">
        <v>1230102.81</v>
      </c>
      <c r="S146" s="2">
        <v>2773470.92</v>
      </c>
      <c r="T146" s="2">
        <v>25388.71</v>
      </c>
      <c r="U146" s="2">
        <v>1406.41</v>
      </c>
      <c r="V146" s="2">
        <v>9398.15</v>
      </c>
      <c r="W146" s="2">
        <v>36193.269999999997</v>
      </c>
    </row>
    <row r="147" spans="1:23" ht="15.75" customHeight="1">
      <c r="A147">
        <v>492</v>
      </c>
      <c r="B147" s="1">
        <v>44708</v>
      </c>
      <c r="C147" t="s">
        <v>55</v>
      </c>
      <c r="D147">
        <v>2</v>
      </c>
      <c r="E147" t="s">
        <v>47</v>
      </c>
      <c r="F147">
        <v>5</v>
      </c>
      <c r="G147" t="s">
        <v>29</v>
      </c>
      <c r="H147" t="s">
        <v>30</v>
      </c>
      <c r="I147" t="s">
        <v>38</v>
      </c>
      <c r="J147" t="s">
        <v>32</v>
      </c>
      <c r="K147" s="2">
        <v>103197.95</v>
      </c>
      <c r="L147" s="2">
        <v>56399.15</v>
      </c>
      <c r="M147" s="2">
        <v>46798.8</v>
      </c>
      <c r="N147" s="2">
        <v>3816.2</v>
      </c>
      <c r="O147" s="2">
        <v>42982.6</v>
      </c>
      <c r="P147" s="3">
        <v>41.65</v>
      </c>
      <c r="Q147" s="2">
        <v>3417338.87</v>
      </c>
      <c r="R147" s="2">
        <v>1552967.03</v>
      </c>
      <c r="S147" s="2">
        <v>1864371.84</v>
      </c>
      <c r="T147" s="2">
        <v>48624.03</v>
      </c>
      <c r="U147" s="2">
        <v>26696.85</v>
      </c>
      <c r="V147" s="2">
        <v>17119.919999999998</v>
      </c>
      <c r="W147" s="2">
        <v>92440.8</v>
      </c>
    </row>
    <row r="148" spans="1:23" ht="15.75" customHeight="1">
      <c r="A148">
        <v>565</v>
      </c>
      <c r="B148" s="1">
        <v>44709</v>
      </c>
      <c r="C148" t="s">
        <v>55</v>
      </c>
      <c r="D148">
        <v>2</v>
      </c>
      <c r="E148" t="s">
        <v>47</v>
      </c>
      <c r="F148">
        <v>5</v>
      </c>
      <c r="G148" t="s">
        <v>37</v>
      </c>
      <c r="H148" t="s">
        <v>36</v>
      </c>
      <c r="I148" t="s">
        <v>35</v>
      </c>
      <c r="J148" t="s">
        <v>29</v>
      </c>
      <c r="K148" s="2">
        <v>159120.66</v>
      </c>
      <c r="L148" s="2">
        <v>107096.66</v>
      </c>
      <c r="M148" s="2">
        <v>52024</v>
      </c>
      <c r="N148" s="2">
        <v>10596.31</v>
      </c>
      <c r="O148" s="2">
        <v>41427.69</v>
      </c>
      <c r="P148" s="3">
        <v>26.04</v>
      </c>
      <c r="Q148" s="2">
        <v>1018201.04</v>
      </c>
      <c r="R148" s="2">
        <v>494082.49</v>
      </c>
      <c r="S148" s="2">
        <v>524118.55</v>
      </c>
      <c r="T148" s="2">
        <v>64784.95</v>
      </c>
      <c r="U148" s="2">
        <v>-49928.72</v>
      </c>
      <c r="V148" s="2">
        <v>48015.47</v>
      </c>
      <c r="W148" s="2">
        <v>62871.7</v>
      </c>
    </row>
    <row r="149" spans="1:23" ht="15.75" customHeight="1">
      <c r="A149">
        <v>432</v>
      </c>
      <c r="B149" s="1">
        <v>44714</v>
      </c>
      <c r="C149" t="s">
        <v>55</v>
      </c>
      <c r="D149">
        <v>2</v>
      </c>
      <c r="E149" t="s">
        <v>48</v>
      </c>
      <c r="F149">
        <v>6</v>
      </c>
      <c r="G149" t="s">
        <v>33</v>
      </c>
      <c r="H149" t="s">
        <v>26</v>
      </c>
      <c r="I149" t="s">
        <v>35</v>
      </c>
      <c r="J149" t="s">
        <v>37</v>
      </c>
      <c r="K149" s="2">
        <v>26082.25</v>
      </c>
      <c r="L149" s="2">
        <v>15630.78</v>
      </c>
      <c r="M149" s="2">
        <v>10451.469999999999</v>
      </c>
      <c r="N149" s="2">
        <v>1253.22</v>
      </c>
      <c r="O149" s="2">
        <v>9198.25</v>
      </c>
      <c r="P149" s="3">
        <v>35.270000000000003</v>
      </c>
      <c r="Q149" s="2">
        <v>4184911.72</v>
      </c>
      <c r="R149" s="2">
        <v>1610907.46</v>
      </c>
      <c r="S149" s="2">
        <v>2574004.2599999998</v>
      </c>
      <c r="T149" s="2">
        <v>45400.15</v>
      </c>
      <c r="U149" s="2">
        <v>-69940.210000000006</v>
      </c>
      <c r="V149" s="2">
        <v>-9218.08</v>
      </c>
      <c r="W149" s="2">
        <v>-33758.14</v>
      </c>
    </row>
    <row r="150" spans="1:23" ht="15.75" customHeight="1">
      <c r="A150">
        <v>126</v>
      </c>
      <c r="B150" s="1">
        <v>44717</v>
      </c>
      <c r="C150" t="s">
        <v>55</v>
      </c>
      <c r="D150">
        <v>2</v>
      </c>
      <c r="E150" t="s">
        <v>48</v>
      </c>
      <c r="F150">
        <v>6</v>
      </c>
      <c r="G150" t="s">
        <v>43</v>
      </c>
      <c r="H150" t="s">
        <v>26</v>
      </c>
      <c r="I150" t="s">
        <v>35</v>
      </c>
      <c r="J150" t="s">
        <v>44</v>
      </c>
      <c r="K150" s="2">
        <v>112156.01</v>
      </c>
      <c r="L150" s="2">
        <v>90209.47</v>
      </c>
      <c r="M150" s="2">
        <v>21946.54</v>
      </c>
      <c r="N150" s="2">
        <v>2409.7600000000002</v>
      </c>
      <c r="O150" s="2">
        <v>19536.78</v>
      </c>
      <c r="P150" s="3">
        <v>17.420000000000002</v>
      </c>
      <c r="Q150" s="2">
        <v>3605022.01</v>
      </c>
      <c r="R150" s="2">
        <v>1191003.6499999999</v>
      </c>
      <c r="S150" s="2">
        <v>2414018.36</v>
      </c>
      <c r="T150" s="2">
        <v>32402.99</v>
      </c>
      <c r="U150" s="2">
        <v>-60332.36</v>
      </c>
      <c r="V150" s="2">
        <v>5037.09</v>
      </c>
      <c r="W150" s="2">
        <v>-22892.28</v>
      </c>
    </row>
    <row r="151" spans="1:23" ht="15.75" customHeight="1">
      <c r="A151">
        <v>197</v>
      </c>
      <c r="B151" s="1">
        <v>44721</v>
      </c>
      <c r="C151" t="s">
        <v>55</v>
      </c>
      <c r="D151">
        <v>2</v>
      </c>
      <c r="E151" t="s">
        <v>48</v>
      </c>
      <c r="F151">
        <v>6</v>
      </c>
      <c r="G151" t="s">
        <v>33</v>
      </c>
      <c r="H151" t="s">
        <v>30</v>
      </c>
      <c r="I151" t="s">
        <v>27</v>
      </c>
      <c r="J151" t="s">
        <v>37</v>
      </c>
      <c r="K151" s="2">
        <v>43686.55</v>
      </c>
      <c r="L151" s="2">
        <v>34246.22</v>
      </c>
      <c r="M151" s="2">
        <v>9440.33</v>
      </c>
      <c r="N151" s="2">
        <v>861.86</v>
      </c>
      <c r="O151" s="2">
        <v>8578.4699999999993</v>
      </c>
      <c r="P151" s="3">
        <v>19.64</v>
      </c>
      <c r="Q151" s="2">
        <v>2902853.63</v>
      </c>
      <c r="R151" s="2">
        <v>890754.71</v>
      </c>
      <c r="S151" s="2">
        <v>2012098.92</v>
      </c>
      <c r="T151" s="2">
        <v>-20485</v>
      </c>
      <c r="U151" s="2">
        <v>-27796.57</v>
      </c>
      <c r="V151" s="2">
        <v>-10495.93</v>
      </c>
      <c r="W151" s="2">
        <v>-58777.5</v>
      </c>
    </row>
    <row r="152" spans="1:23" ht="15.75" customHeight="1">
      <c r="A152">
        <v>483</v>
      </c>
      <c r="B152" s="1">
        <v>44721</v>
      </c>
      <c r="C152" t="s">
        <v>55</v>
      </c>
      <c r="D152">
        <v>2</v>
      </c>
      <c r="E152" t="s">
        <v>48</v>
      </c>
      <c r="F152">
        <v>6</v>
      </c>
      <c r="G152" t="s">
        <v>37</v>
      </c>
      <c r="H152" t="s">
        <v>30</v>
      </c>
      <c r="I152" t="s">
        <v>38</v>
      </c>
      <c r="J152" t="s">
        <v>44</v>
      </c>
      <c r="K152" s="2">
        <v>123566.17</v>
      </c>
      <c r="L152" s="2">
        <v>90619.88</v>
      </c>
      <c r="M152" s="2">
        <v>32946.29</v>
      </c>
      <c r="N152" s="2">
        <v>3079.37</v>
      </c>
      <c r="O152" s="2">
        <v>29866.92</v>
      </c>
      <c r="P152" s="3">
        <v>24.17</v>
      </c>
      <c r="Q152" s="2">
        <v>711762.71</v>
      </c>
      <c r="R152" s="2">
        <v>183477.64</v>
      </c>
      <c r="S152" s="2">
        <v>528285.06999999995</v>
      </c>
      <c r="T152" s="2">
        <v>14970.44</v>
      </c>
      <c r="U152" s="2">
        <v>-28559.16</v>
      </c>
      <c r="V152" s="2">
        <v>53582.61</v>
      </c>
      <c r="W152" s="2">
        <v>39993.89</v>
      </c>
    </row>
    <row r="153" spans="1:23" ht="15.75" customHeight="1">
      <c r="A153">
        <v>480</v>
      </c>
      <c r="B153" s="1">
        <v>44734</v>
      </c>
      <c r="C153" t="s">
        <v>55</v>
      </c>
      <c r="D153">
        <v>2</v>
      </c>
      <c r="E153" t="s">
        <v>48</v>
      </c>
      <c r="F153">
        <v>6</v>
      </c>
      <c r="G153" t="s">
        <v>37</v>
      </c>
      <c r="H153" t="s">
        <v>36</v>
      </c>
      <c r="I153" t="s">
        <v>27</v>
      </c>
      <c r="J153" t="s">
        <v>29</v>
      </c>
      <c r="K153" s="2">
        <v>59210.45</v>
      </c>
      <c r="L153" s="2">
        <v>30115.96</v>
      </c>
      <c r="M153" s="2">
        <v>29094.49</v>
      </c>
      <c r="N153" s="2">
        <v>2635.23</v>
      </c>
      <c r="O153" s="2">
        <v>26459.26</v>
      </c>
      <c r="P153" s="3">
        <v>44.69</v>
      </c>
      <c r="Q153" s="2">
        <v>4202163.1500000004</v>
      </c>
      <c r="R153" s="2">
        <v>1573931.87</v>
      </c>
      <c r="S153" s="2">
        <v>2628231.2799999998</v>
      </c>
      <c r="T153" s="2">
        <v>28595.01</v>
      </c>
      <c r="U153" s="2">
        <v>-19724.98</v>
      </c>
      <c r="V153" s="2">
        <v>43945.32</v>
      </c>
      <c r="W153" s="2">
        <v>52815.35</v>
      </c>
    </row>
    <row r="154" spans="1:23" ht="15.75" customHeight="1">
      <c r="A154">
        <v>195</v>
      </c>
      <c r="B154" s="1">
        <v>44737</v>
      </c>
      <c r="C154" t="s">
        <v>55</v>
      </c>
      <c r="D154">
        <v>2</v>
      </c>
      <c r="E154" t="s">
        <v>48</v>
      </c>
      <c r="F154">
        <v>6</v>
      </c>
      <c r="G154" t="s">
        <v>37</v>
      </c>
      <c r="H154" t="s">
        <v>30</v>
      </c>
      <c r="I154" t="s">
        <v>27</v>
      </c>
      <c r="J154" t="s">
        <v>37</v>
      </c>
      <c r="K154" s="2">
        <v>128120.28</v>
      </c>
      <c r="L154" s="2">
        <v>95594.55</v>
      </c>
      <c r="M154" s="2">
        <v>32525.73</v>
      </c>
      <c r="N154" s="2">
        <v>6266.18</v>
      </c>
      <c r="O154" s="2">
        <v>26259.55</v>
      </c>
      <c r="P154" s="3">
        <v>20.5</v>
      </c>
      <c r="Q154" s="2">
        <v>915281.56</v>
      </c>
      <c r="R154" s="2">
        <v>447141.23</v>
      </c>
      <c r="S154" s="2">
        <v>468140.33</v>
      </c>
      <c r="T154" s="2">
        <v>40226.239999999998</v>
      </c>
      <c r="U154" s="2">
        <v>20032.13</v>
      </c>
      <c r="V154" s="2">
        <v>423.97</v>
      </c>
      <c r="W154" s="2">
        <v>60682.34</v>
      </c>
    </row>
    <row r="155" spans="1:23" ht="15.75" customHeight="1">
      <c r="A155">
        <v>421</v>
      </c>
      <c r="B155" s="1">
        <v>44743</v>
      </c>
      <c r="C155" t="s">
        <v>55</v>
      </c>
      <c r="D155">
        <v>3</v>
      </c>
      <c r="E155" t="s">
        <v>49</v>
      </c>
      <c r="F155">
        <v>7</v>
      </c>
      <c r="G155" t="s">
        <v>37</v>
      </c>
      <c r="H155" t="s">
        <v>34</v>
      </c>
      <c r="I155" t="s">
        <v>38</v>
      </c>
      <c r="J155" t="s">
        <v>39</v>
      </c>
      <c r="K155" s="2">
        <v>154648.54</v>
      </c>
      <c r="L155" s="2">
        <v>101000.43</v>
      </c>
      <c r="M155" s="2">
        <v>53648.11</v>
      </c>
      <c r="N155" s="2">
        <v>6017.35</v>
      </c>
      <c r="O155" s="2">
        <v>47630.76</v>
      </c>
      <c r="P155" s="3">
        <v>30.8</v>
      </c>
      <c r="Q155" s="2">
        <v>3741727.99</v>
      </c>
      <c r="R155" s="2">
        <v>1700411.28</v>
      </c>
      <c r="S155" s="2">
        <v>2041316.71</v>
      </c>
      <c r="T155" s="2">
        <v>65975.8</v>
      </c>
      <c r="U155" s="2">
        <v>-23910.17</v>
      </c>
      <c r="V155" s="2">
        <v>42870.9</v>
      </c>
      <c r="W155" s="2">
        <v>84936.53</v>
      </c>
    </row>
    <row r="156" spans="1:23" ht="15.75" customHeight="1">
      <c r="A156">
        <v>318</v>
      </c>
      <c r="B156" s="1">
        <v>44747</v>
      </c>
      <c r="C156" t="s">
        <v>55</v>
      </c>
      <c r="D156">
        <v>3</v>
      </c>
      <c r="E156" t="s">
        <v>49</v>
      </c>
      <c r="F156">
        <v>7</v>
      </c>
      <c r="G156" t="s">
        <v>25</v>
      </c>
      <c r="H156" t="s">
        <v>36</v>
      </c>
      <c r="I156" t="s">
        <v>38</v>
      </c>
      <c r="J156" t="s">
        <v>44</v>
      </c>
      <c r="K156" s="2">
        <v>159788.94</v>
      </c>
      <c r="L156" s="2">
        <v>95717.9</v>
      </c>
      <c r="M156" s="2">
        <v>64071.040000000001</v>
      </c>
      <c r="N156" s="2">
        <v>15693.56</v>
      </c>
      <c r="O156" s="2">
        <v>48377.48</v>
      </c>
      <c r="P156" s="3">
        <v>30.28</v>
      </c>
      <c r="Q156" s="2">
        <v>4695452.41</v>
      </c>
      <c r="R156" s="2">
        <v>2566727.0299999998</v>
      </c>
      <c r="S156" s="2">
        <v>2128725.38</v>
      </c>
      <c r="T156" s="2">
        <v>40730.75</v>
      </c>
      <c r="U156" s="2">
        <v>-56834.64</v>
      </c>
      <c r="V156" s="2">
        <v>45470.35</v>
      </c>
      <c r="W156" s="2">
        <v>29366.46</v>
      </c>
    </row>
    <row r="157" spans="1:23" ht="15.75" customHeight="1">
      <c r="A157">
        <v>205</v>
      </c>
      <c r="B157" s="1">
        <v>44753</v>
      </c>
      <c r="C157" t="s">
        <v>55</v>
      </c>
      <c r="D157">
        <v>3</v>
      </c>
      <c r="E157" t="s">
        <v>49</v>
      </c>
      <c r="F157">
        <v>7</v>
      </c>
      <c r="G157" t="s">
        <v>25</v>
      </c>
      <c r="H157" t="s">
        <v>30</v>
      </c>
      <c r="I157" t="s">
        <v>31</v>
      </c>
      <c r="J157" t="s">
        <v>32</v>
      </c>
      <c r="K157" s="2">
        <v>108918.18</v>
      </c>
      <c r="L157" s="2">
        <v>55225.18</v>
      </c>
      <c r="M157" s="2">
        <v>53693</v>
      </c>
      <c r="N157" s="2">
        <v>9349.61</v>
      </c>
      <c r="O157" s="2">
        <v>44343.39</v>
      </c>
      <c r="P157" s="3">
        <v>40.71</v>
      </c>
      <c r="Q157" s="2">
        <v>2937671.66</v>
      </c>
      <c r="R157" s="2">
        <v>1629704.86</v>
      </c>
      <c r="S157" s="2">
        <v>1307966.8</v>
      </c>
      <c r="T157" s="2">
        <v>81035.39</v>
      </c>
      <c r="U157" s="2">
        <v>-25955.86</v>
      </c>
      <c r="V157" s="2">
        <v>-9766.68</v>
      </c>
      <c r="W157" s="2">
        <v>45312.85</v>
      </c>
    </row>
    <row r="158" spans="1:23" ht="15.75" customHeight="1">
      <c r="A158">
        <v>571</v>
      </c>
      <c r="B158" s="1">
        <v>44756</v>
      </c>
      <c r="C158" t="s">
        <v>55</v>
      </c>
      <c r="D158">
        <v>3</v>
      </c>
      <c r="E158" t="s">
        <v>49</v>
      </c>
      <c r="F158">
        <v>7</v>
      </c>
      <c r="G158" t="s">
        <v>37</v>
      </c>
      <c r="H158" t="s">
        <v>36</v>
      </c>
      <c r="I158" t="s">
        <v>31</v>
      </c>
      <c r="J158" t="s">
        <v>32</v>
      </c>
      <c r="K158" s="2">
        <v>149418.1</v>
      </c>
      <c r="L158" s="2">
        <v>110804.43</v>
      </c>
      <c r="M158" s="2">
        <v>38613.67</v>
      </c>
      <c r="N158" s="2">
        <v>5040.1000000000004</v>
      </c>
      <c r="O158" s="2">
        <v>33573.57</v>
      </c>
      <c r="P158" s="3">
        <v>22.47</v>
      </c>
      <c r="Q158" s="2">
        <v>1110319.77</v>
      </c>
      <c r="R158" s="2">
        <v>342257.69</v>
      </c>
      <c r="S158" s="2">
        <v>768062.08</v>
      </c>
      <c r="T158" s="2">
        <v>59368.1</v>
      </c>
      <c r="U158" s="2">
        <v>-5719.34</v>
      </c>
      <c r="V158" s="2">
        <v>38274.57</v>
      </c>
      <c r="W158" s="2">
        <v>91923.33</v>
      </c>
    </row>
    <row r="159" spans="1:23" ht="15.75" customHeight="1">
      <c r="A159">
        <v>403</v>
      </c>
      <c r="B159" s="1">
        <v>44759</v>
      </c>
      <c r="C159" t="s">
        <v>55</v>
      </c>
      <c r="D159">
        <v>3</v>
      </c>
      <c r="E159" t="s">
        <v>49</v>
      </c>
      <c r="F159">
        <v>7</v>
      </c>
      <c r="G159" t="s">
        <v>33</v>
      </c>
      <c r="H159" t="s">
        <v>26</v>
      </c>
      <c r="I159" t="s">
        <v>27</v>
      </c>
      <c r="J159" t="s">
        <v>37</v>
      </c>
      <c r="K159" s="2">
        <v>88408.2</v>
      </c>
      <c r="L159" s="2">
        <v>51375.73</v>
      </c>
      <c r="M159" s="2">
        <v>37032.47</v>
      </c>
      <c r="N159" s="2">
        <v>4869.07</v>
      </c>
      <c r="O159" s="2">
        <v>32163.4</v>
      </c>
      <c r="P159" s="3">
        <v>36.380000000000003</v>
      </c>
      <c r="Q159" s="2">
        <v>3788958.3</v>
      </c>
      <c r="R159" s="2">
        <v>2009247.49</v>
      </c>
      <c r="S159" s="2">
        <v>1779710.81</v>
      </c>
      <c r="T159" s="2">
        <v>49285.01</v>
      </c>
      <c r="U159" s="2">
        <v>23866.48</v>
      </c>
      <c r="V159" s="2">
        <v>-5014.5600000000004</v>
      </c>
      <c r="W159" s="2">
        <v>68136.929999999993</v>
      </c>
    </row>
    <row r="160" spans="1:23" ht="15.75" customHeight="1">
      <c r="A160">
        <v>52</v>
      </c>
      <c r="B160" s="1">
        <v>44759</v>
      </c>
      <c r="C160" t="s">
        <v>55</v>
      </c>
      <c r="D160">
        <v>3</v>
      </c>
      <c r="E160" t="s">
        <v>49</v>
      </c>
      <c r="F160">
        <v>7</v>
      </c>
      <c r="G160" t="s">
        <v>37</v>
      </c>
      <c r="H160" t="s">
        <v>34</v>
      </c>
      <c r="I160" t="s">
        <v>31</v>
      </c>
      <c r="J160" t="s">
        <v>29</v>
      </c>
      <c r="K160" s="2">
        <v>95259.77</v>
      </c>
      <c r="L160" s="2">
        <v>61349.62</v>
      </c>
      <c r="M160" s="2">
        <v>33910.15</v>
      </c>
      <c r="N160" s="2">
        <v>5253.69</v>
      </c>
      <c r="O160" s="2">
        <v>28656.46</v>
      </c>
      <c r="P160" s="3">
        <v>30.08</v>
      </c>
      <c r="Q160" s="2">
        <v>2303433.77</v>
      </c>
      <c r="R160" s="2">
        <v>1091496.22</v>
      </c>
      <c r="S160" s="2">
        <v>1211937.55</v>
      </c>
      <c r="T160" s="2">
        <v>11075.68</v>
      </c>
      <c r="U160" s="2">
        <v>-51807.19</v>
      </c>
      <c r="V160" s="2">
        <v>46178.559999999998</v>
      </c>
      <c r="W160" s="2">
        <v>5447.05</v>
      </c>
    </row>
    <row r="161" spans="1:23" ht="15.75" customHeight="1">
      <c r="A161">
        <v>185</v>
      </c>
      <c r="B161" s="1">
        <v>44760</v>
      </c>
      <c r="C161" t="s">
        <v>55</v>
      </c>
      <c r="D161">
        <v>3</v>
      </c>
      <c r="E161" t="s">
        <v>49</v>
      </c>
      <c r="F161">
        <v>7</v>
      </c>
      <c r="G161" t="s">
        <v>25</v>
      </c>
      <c r="H161" t="s">
        <v>36</v>
      </c>
      <c r="I161" t="s">
        <v>27</v>
      </c>
      <c r="J161" t="s">
        <v>39</v>
      </c>
      <c r="K161" s="2">
        <v>138188.15</v>
      </c>
      <c r="L161" s="2">
        <v>92801.51</v>
      </c>
      <c r="M161" s="2">
        <v>45386.64</v>
      </c>
      <c r="N161" s="2">
        <v>4128.53</v>
      </c>
      <c r="O161" s="2">
        <v>41258.11</v>
      </c>
      <c r="P161" s="3">
        <v>29.86</v>
      </c>
      <c r="Q161" s="2">
        <v>4447577.5599999996</v>
      </c>
      <c r="R161" s="2">
        <v>2672570.2799999998</v>
      </c>
      <c r="S161" s="2">
        <v>1775007.28</v>
      </c>
      <c r="T161" s="2">
        <v>37690.75</v>
      </c>
      <c r="U161" s="2">
        <v>-35959.42</v>
      </c>
      <c r="V161" s="2">
        <v>58902.84</v>
      </c>
      <c r="W161" s="2">
        <v>60634.17</v>
      </c>
    </row>
    <row r="162" spans="1:23" ht="15.75" customHeight="1">
      <c r="A162">
        <v>251</v>
      </c>
      <c r="B162" s="1">
        <v>44760</v>
      </c>
      <c r="C162" t="s">
        <v>55</v>
      </c>
      <c r="D162">
        <v>3</v>
      </c>
      <c r="E162" t="s">
        <v>49</v>
      </c>
      <c r="F162">
        <v>7</v>
      </c>
      <c r="G162" t="s">
        <v>40</v>
      </c>
      <c r="H162" t="s">
        <v>30</v>
      </c>
      <c r="I162" t="s">
        <v>38</v>
      </c>
      <c r="J162" t="s">
        <v>44</v>
      </c>
      <c r="K162" s="2">
        <v>175827.12</v>
      </c>
      <c r="L162" s="2">
        <v>93833.02</v>
      </c>
      <c r="M162" s="2">
        <v>81994.100000000006</v>
      </c>
      <c r="N162" s="2">
        <v>10799.75</v>
      </c>
      <c r="O162" s="2">
        <v>71194.350000000006</v>
      </c>
      <c r="P162" s="3">
        <v>40.49</v>
      </c>
      <c r="Q162" s="2">
        <v>1867741.31</v>
      </c>
      <c r="R162" s="2">
        <v>639078.81000000006</v>
      </c>
      <c r="S162" s="2">
        <v>1228662.5</v>
      </c>
      <c r="T162" s="2">
        <v>41312.26</v>
      </c>
      <c r="U162" s="2">
        <v>2934.48</v>
      </c>
      <c r="V162" s="2">
        <v>56684.55</v>
      </c>
      <c r="W162" s="2">
        <v>100931.29</v>
      </c>
    </row>
    <row r="163" spans="1:23" ht="15.75" customHeight="1">
      <c r="A163">
        <v>71</v>
      </c>
      <c r="B163" s="1">
        <v>44761</v>
      </c>
      <c r="C163" t="s">
        <v>55</v>
      </c>
      <c r="D163">
        <v>3</v>
      </c>
      <c r="E163" t="s">
        <v>49</v>
      </c>
      <c r="F163">
        <v>7</v>
      </c>
      <c r="G163" t="s">
        <v>25</v>
      </c>
      <c r="H163" t="s">
        <v>26</v>
      </c>
      <c r="I163" t="s">
        <v>31</v>
      </c>
      <c r="J163" t="s">
        <v>32</v>
      </c>
      <c r="K163" s="2">
        <v>87299.29</v>
      </c>
      <c r="L163" s="2">
        <v>54785.02</v>
      </c>
      <c r="M163" s="2">
        <v>32514.27</v>
      </c>
      <c r="N163" s="2">
        <v>6069.63</v>
      </c>
      <c r="O163" s="2">
        <v>26444.639999999999</v>
      </c>
      <c r="P163" s="3">
        <v>30.29</v>
      </c>
      <c r="Q163" s="2">
        <v>4431547.01</v>
      </c>
      <c r="R163" s="2">
        <v>2852291.61</v>
      </c>
      <c r="S163" s="2">
        <v>1579255.4</v>
      </c>
      <c r="T163" s="2">
        <v>57906.51</v>
      </c>
      <c r="U163" s="2">
        <v>-28223.32</v>
      </c>
      <c r="V163" s="2">
        <v>2135.6999999999998</v>
      </c>
      <c r="W163" s="2">
        <v>31818.89</v>
      </c>
    </row>
    <row r="164" spans="1:23" ht="15.75" customHeight="1">
      <c r="A164">
        <v>89</v>
      </c>
      <c r="B164" s="1">
        <v>44762</v>
      </c>
      <c r="C164" t="s">
        <v>55</v>
      </c>
      <c r="D164">
        <v>3</v>
      </c>
      <c r="E164" t="s">
        <v>49</v>
      </c>
      <c r="F164">
        <v>7</v>
      </c>
      <c r="G164" t="s">
        <v>43</v>
      </c>
      <c r="H164" t="s">
        <v>36</v>
      </c>
      <c r="I164" t="s">
        <v>38</v>
      </c>
      <c r="J164" t="s">
        <v>44</v>
      </c>
      <c r="K164" s="2">
        <v>56573.69</v>
      </c>
      <c r="L164" s="2">
        <v>27366.44</v>
      </c>
      <c r="M164" s="2">
        <v>29207.25</v>
      </c>
      <c r="N164" s="2">
        <v>3099.53</v>
      </c>
      <c r="O164" s="2">
        <v>26107.72</v>
      </c>
      <c r="P164" s="3">
        <v>46.15</v>
      </c>
      <c r="Q164" s="2">
        <v>2541621.36</v>
      </c>
      <c r="R164" s="2">
        <v>1174589.3600000001</v>
      </c>
      <c r="S164" s="2">
        <v>1367032</v>
      </c>
      <c r="T164" s="2">
        <v>-2463.33</v>
      </c>
      <c r="U164" s="2">
        <v>9679.7800000000007</v>
      </c>
      <c r="V164" s="2">
        <v>-10583.2</v>
      </c>
      <c r="W164" s="2">
        <v>-3366.75</v>
      </c>
    </row>
    <row r="165" spans="1:23" ht="15.75" customHeight="1">
      <c r="A165">
        <v>457</v>
      </c>
      <c r="B165" s="1">
        <v>44762</v>
      </c>
      <c r="C165" t="s">
        <v>55</v>
      </c>
      <c r="D165">
        <v>3</v>
      </c>
      <c r="E165" t="s">
        <v>49</v>
      </c>
      <c r="F165">
        <v>7</v>
      </c>
      <c r="G165" t="s">
        <v>43</v>
      </c>
      <c r="H165" t="s">
        <v>36</v>
      </c>
      <c r="I165" t="s">
        <v>27</v>
      </c>
      <c r="J165" t="s">
        <v>29</v>
      </c>
      <c r="K165" s="2">
        <v>106776.14</v>
      </c>
      <c r="L165" s="2">
        <v>58277.84</v>
      </c>
      <c r="M165" s="2">
        <v>48498.3</v>
      </c>
      <c r="N165" s="2">
        <v>4315.3999999999996</v>
      </c>
      <c r="O165" s="2">
        <v>44182.9</v>
      </c>
      <c r="P165" s="3">
        <v>41.38</v>
      </c>
      <c r="Q165" s="2">
        <v>3767381.83</v>
      </c>
      <c r="R165" s="2">
        <v>1124643.3400000001</v>
      </c>
      <c r="S165" s="2">
        <v>2642738.4900000002</v>
      </c>
      <c r="T165" s="2">
        <v>38404.910000000003</v>
      </c>
      <c r="U165" s="2">
        <v>-16752.91</v>
      </c>
      <c r="V165" s="2">
        <v>16441.66</v>
      </c>
      <c r="W165" s="2">
        <v>38093.660000000003</v>
      </c>
    </row>
    <row r="166" spans="1:23" ht="15.75" customHeight="1">
      <c r="A166">
        <v>458</v>
      </c>
      <c r="B166" s="1">
        <v>44766</v>
      </c>
      <c r="C166" t="s">
        <v>55</v>
      </c>
      <c r="D166">
        <v>3</v>
      </c>
      <c r="E166" t="s">
        <v>49</v>
      </c>
      <c r="F166">
        <v>7</v>
      </c>
      <c r="G166" t="s">
        <v>37</v>
      </c>
      <c r="H166" t="s">
        <v>30</v>
      </c>
      <c r="I166" t="s">
        <v>38</v>
      </c>
      <c r="J166" t="s">
        <v>32</v>
      </c>
      <c r="K166" s="2">
        <v>83859.3</v>
      </c>
      <c r="L166" s="2">
        <v>56886.95</v>
      </c>
      <c r="M166" s="2">
        <v>26972.35</v>
      </c>
      <c r="N166" s="2">
        <v>6604.7</v>
      </c>
      <c r="O166" s="2">
        <v>20367.650000000001</v>
      </c>
      <c r="P166" s="3">
        <v>24.29</v>
      </c>
      <c r="Q166" s="2">
        <v>3774340.12</v>
      </c>
      <c r="R166" s="2">
        <v>2336473.1800000002</v>
      </c>
      <c r="S166" s="2">
        <v>1437866.94</v>
      </c>
      <c r="T166" s="2">
        <v>51344.61</v>
      </c>
      <c r="U166" s="2">
        <v>-10828.3</v>
      </c>
      <c r="V166" s="2">
        <v>-20797.66</v>
      </c>
      <c r="W166" s="2">
        <v>19718.650000000001</v>
      </c>
    </row>
    <row r="167" spans="1:23" ht="15.75" customHeight="1">
      <c r="A167">
        <v>512</v>
      </c>
      <c r="B167" s="1">
        <v>44766</v>
      </c>
      <c r="C167" t="s">
        <v>55</v>
      </c>
      <c r="D167">
        <v>3</v>
      </c>
      <c r="E167" t="s">
        <v>49</v>
      </c>
      <c r="F167">
        <v>7</v>
      </c>
      <c r="G167" t="s">
        <v>33</v>
      </c>
      <c r="H167" t="s">
        <v>30</v>
      </c>
      <c r="I167" t="s">
        <v>31</v>
      </c>
      <c r="J167" t="s">
        <v>41</v>
      </c>
      <c r="K167" s="2">
        <v>158041.22</v>
      </c>
      <c r="L167" s="2">
        <v>98228.97</v>
      </c>
      <c r="M167" s="2">
        <v>59812.25</v>
      </c>
      <c r="N167" s="2">
        <v>12759.52</v>
      </c>
      <c r="O167" s="2">
        <v>47052.73</v>
      </c>
      <c r="P167" s="3">
        <v>29.77</v>
      </c>
      <c r="Q167" s="2">
        <v>4760960.88</v>
      </c>
      <c r="R167" s="2">
        <v>1714269.88</v>
      </c>
      <c r="S167" s="2">
        <v>3046691</v>
      </c>
      <c r="T167" s="2">
        <v>48889.56</v>
      </c>
      <c r="U167" s="2">
        <v>23147.9</v>
      </c>
      <c r="V167" s="2">
        <v>-6176.9</v>
      </c>
      <c r="W167" s="2">
        <v>65860.56</v>
      </c>
    </row>
    <row r="168" spans="1:23" ht="15.75" customHeight="1">
      <c r="A168">
        <v>507</v>
      </c>
      <c r="B168" s="1">
        <v>44771</v>
      </c>
      <c r="C168" t="s">
        <v>55</v>
      </c>
      <c r="D168">
        <v>3</v>
      </c>
      <c r="E168" t="s">
        <v>49</v>
      </c>
      <c r="F168">
        <v>7</v>
      </c>
      <c r="G168" t="s">
        <v>25</v>
      </c>
      <c r="H168" t="s">
        <v>34</v>
      </c>
      <c r="I168" t="s">
        <v>35</v>
      </c>
      <c r="J168" t="s">
        <v>41</v>
      </c>
      <c r="K168" s="2">
        <v>40998.58</v>
      </c>
      <c r="L168" s="2">
        <v>27324.04</v>
      </c>
      <c r="M168" s="2">
        <v>13674.54</v>
      </c>
      <c r="N168" s="2">
        <v>2229.66</v>
      </c>
      <c r="O168" s="2">
        <v>11444.88</v>
      </c>
      <c r="P168" s="3">
        <v>27.92</v>
      </c>
      <c r="Q168" s="2">
        <v>2858883.22</v>
      </c>
      <c r="R168" s="2">
        <v>1477396.99</v>
      </c>
      <c r="S168" s="2">
        <v>1381486.23</v>
      </c>
      <c r="T168" s="2">
        <v>2816.41</v>
      </c>
      <c r="U168" s="2">
        <v>21066.5</v>
      </c>
      <c r="V168" s="2">
        <v>3567.21</v>
      </c>
      <c r="W168" s="2">
        <v>27450.12</v>
      </c>
    </row>
    <row r="169" spans="1:23" ht="15.75" customHeight="1">
      <c r="A169">
        <v>203</v>
      </c>
      <c r="B169" s="1">
        <v>44774</v>
      </c>
      <c r="C169" t="s">
        <v>55</v>
      </c>
      <c r="D169">
        <v>3</v>
      </c>
      <c r="E169" t="s">
        <v>50</v>
      </c>
      <c r="F169">
        <v>8</v>
      </c>
      <c r="G169" t="s">
        <v>29</v>
      </c>
      <c r="H169" t="s">
        <v>26</v>
      </c>
      <c r="I169" t="s">
        <v>27</v>
      </c>
      <c r="J169" t="s">
        <v>29</v>
      </c>
      <c r="K169" s="2">
        <v>57373.93</v>
      </c>
      <c r="L169" s="2">
        <v>45468.03</v>
      </c>
      <c r="M169" s="2">
        <v>11905.9</v>
      </c>
      <c r="N169" s="2">
        <v>1790.71</v>
      </c>
      <c r="O169" s="2">
        <v>10115.19</v>
      </c>
      <c r="P169" s="3">
        <v>17.63</v>
      </c>
      <c r="Q169" s="2">
        <v>2279454.21</v>
      </c>
      <c r="R169" s="2">
        <v>855439.28</v>
      </c>
      <c r="S169" s="2">
        <v>1424014.93</v>
      </c>
      <c r="T169" s="2">
        <v>-8119.86</v>
      </c>
      <c r="U169" s="2">
        <v>-21214.880000000001</v>
      </c>
      <c r="V169" s="2">
        <v>-26995.22</v>
      </c>
      <c r="W169" s="2">
        <v>-56329.96</v>
      </c>
    </row>
    <row r="170" spans="1:23" ht="15.75" customHeight="1">
      <c r="A170">
        <v>580</v>
      </c>
      <c r="B170" s="1">
        <v>44777</v>
      </c>
      <c r="C170" t="s">
        <v>55</v>
      </c>
      <c r="D170">
        <v>3</v>
      </c>
      <c r="E170" t="s">
        <v>50</v>
      </c>
      <c r="F170">
        <v>8</v>
      </c>
      <c r="G170" t="s">
        <v>25</v>
      </c>
      <c r="H170" t="s">
        <v>26</v>
      </c>
      <c r="I170" t="s">
        <v>31</v>
      </c>
      <c r="J170" t="s">
        <v>32</v>
      </c>
      <c r="K170" s="2">
        <v>155770.48000000001</v>
      </c>
      <c r="L170" s="2">
        <v>81332.259999999995</v>
      </c>
      <c r="M170" s="2">
        <v>74438.22</v>
      </c>
      <c r="N170" s="2">
        <v>16418.650000000001</v>
      </c>
      <c r="O170" s="2">
        <v>58019.57</v>
      </c>
      <c r="P170" s="3">
        <v>37.25</v>
      </c>
      <c r="Q170" s="2">
        <v>3031949.4</v>
      </c>
      <c r="R170" s="2">
        <v>1682352.94</v>
      </c>
      <c r="S170" s="2">
        <v>1349596.46</v>
      </c>
      <c r="T170" s="2">
        <v>85108.160000000003</v>
      </c>
      <c r="U170" s="2">
        <v>-49248.85</v>
      </c>
      <c r="V170" s="2">
        <v>16881.27</v>
      </c>
      <c r="W170" s="2">
        <v>52740.58</v>
      </c>
    </row>
    <row r="171" spans="1:23" ht="15.75" customHeight="1">
      <c r="A171">
        <v>358</v>
      </c>
      <c r="B171" s="1">
        <v>44783</v>
      </c>
      <c r="C171" t="s">
        <v>55</v>
      </c>
      <c r="D171">
        <v>3</v>
      </c>
      <c r="E171" t="s">
        <v>50</v>
      </c>
      <c r="F171">
        <v>8</v>
      </c>
      <c r="G171" t="s">
        <v>43</v>
      </c>
      <c r="H171" t="s">
        <v>30</v>
      </c>
      <c r="I171" t="s">
        <v>35</v>
      </c>
      <c r="J171" t="s">
        <v>32</v>
      </c>
      <c r="K171" s="2">
        <v>33785.47</v>
      </c>
      <c r="L171" s="2">
        <v>15636.89</v>
      </c>
      <c r="M171" s="2">
        <v>18148.580000000002</v>
      </c>
      <c r="N171" s="2">
        <v>2661.03</v>
      </c>
      <c r="O171" s="2">
        <v>15487.55</v>
      </c>
      <c r="P171" s="3">
        <v>45.84</v>
      </c>
      <c r="Q171" s="2">
        <v>3637236.61</v>
      </c>
      <c r="R171" s="2">
        <v>1190737.2</v>
      </c>
      <c r="S171" s="2">
        <v>2446499.41</v>
      </c>
      <c r="T171" s="2">
        <v>36807.910000000003</v>
      </c>
      <c r="U171" s="2">
        <v>-44017.19</v>
      </c>
      <c r="V171" s="2">
        <v>48608.61</v>
      </c>
      <c r="W171" s="2">
        <v>41399.33</v>
      </c>
    </row>
    <row r="172" spans="1:23" ht="15.75" customHeight="1">
      <c r="A172">
        <v>134</v>
      </c>
      <c r="B172" s="1">
        <v>44789</v>
      </c>
      <c r="C172" t="s">
        <v>55</v>
      </c>
      <c r="D172">
        <v>3</v>
      </c>
      <c r="E172" t="s">
        <v>50</v>
      </c>
      <c r="F172">
        <v>8</v>
      </c>
      <c r="G172" t="s">
        <v>25</v>
      </c>
      <c r="H172" t="s">
        <v>30</v>
      </c>
      <c r="I172" t="s">
        <v>31</v>
      </c>
      <c r="J172" t="s">
        <v>29</v>
      </c>
      <c r="K172" s="2">
        <v>160796.29999999999</v>
      </c>
      <c r="L172" s="2">
        <v>88883.12</v>
      </c>
      <c r="M172" s="2">
        <v>71913.179999999993</v>
      </c>
      <c r="N172" s="2">
        <v>16162.22</v>
      </c>
      <c r="O172" s="2">
        <v>55750.96</v>
      </c>
      <c r="P172" s="3">
        <v>34.67</v>
      </c>
      <c r="Q172" s="2">
        <v>501496.28</v>
      </c>
      <c r="R172" s="2">
        <v>128922.22</v>
      </c>
      <c r="S172" s="2">
        <v>372574.06</v>
      </c>
      <c r="T172" s="2">
        <v>73955.210000000006</v>
      </c>
      <c r="U172" s="2">
        <v>-33520.18</v>
      </c>
      <c r="V172" s="2">
        <v>-1353.92</v>
      </c>
      <c r="W172" s="2">
        <v>39081.11</v>
      </c>
    </row>
    <row r="173" spans="1:23" ht="15.75" customHeight="1">
      <c r="A173">
        <v>65</v>
      </c>
      <c r="B173" s="1">
        <v>44797</v>
      </c>
      <c r="C173" t="s">
        <v>55</v>
      </c>
      <c r="D173">
        <v>3</v>
      </c>
      <c r="E173" t="s">
        <v>50</v>
      </c>
      <c r="F173">
        <v>8</v>
      </c>
      <c r="G173" t="s">
        <v>25</v>
      </c>
      <c r="H173" t="s">
        <v>26</v>
      </c>
      <c r="I173" t="s">
        <v>38</v>
      </c>
      <c r="J173" t="s">
        <v>41</v>
      </c>
      <c r="K173" s="2">
        <v>39195.22</v>
      </c>
      <c r="L173" s="2">
        <v>30940.94</v>
      </c>
      <c r="M173" s="2">
        <v>8254.2800000000007</v>
      </c>
      <c r="N173" s="2">
        <v>852.33</v>
      </c>
      <c r="O173" s="2">
        <v>7401.95</v>
      </c>
      <c r="P173" s="3">
        <v>18.88</v>
      </c>
      <c r="Q173" s="2">
        <v>4776068.09</v>
      </c>
      <c r="R173" s="2">
        <v>2046078.6</v>
      </c>
      <c r="S173" s="2">
        <v>2729989.49</v>
      </c>
      <c r="T173" s="2">
        <v>-7787.42</v>
      </c>
      <c r="U173" s="2">
        <v>-15809.91</v>
      </c>
      <c r="V173" s="2">
        <v>47294.58</v>
      </c>
      <c r="W173" s="2">
        <v>23697.25</v>
      </c>
    </row>
    <row r="174" spans="1:23" ht="15.75" customHeight="1">
      <c r="A174">
        <v>441</v>
      </c>
      <c r="B174" s="1">
        <v>44803</v>
      </c>
      <c r="C174" t="s">
        <v>55</v>
      </c>
      <c r="D174">
        <v>3</v>
      </c>
      <c r="E174" t="s">
        <v>50</v>
      </c>
      <c r="F174">
        <v>8</v>
      </c>
      <c r="G174" t="s">
        <v>43</v>
      </c>
      <c r="H174" t="s">
        <v>26</v>
      </c>
      <c r="I174" t="s">
        <v>31</v>
      </c>
      <c r="J174" t="s">
        <v>44</v>
      </c>
      <c r="K174" s="2">
        <v>150281.57</v>
      </c>
      <c r="L174" s="2">
        <v>71465.45</v>
      </c>
      <c r="M174" s="2">
        <v>78816.12</v>
      </c>
      <c r="N174" s="2">
        <v>10791.04</v>
      </c>
      <c r="O174" s="2">
        <v>68025.08</v>
      </c>
      <c r="P174" s="3">
        <v>45.27</v>
      </c>
      <c r="Q174" s="2">
        <v>1911664.06</v>
      </c>
      <c r="R174" s="2">
        <v>963972.14</v>
      </c>
      <c r="S174" s="2">
        <v>947691.92</v>
      </c>
      <c r="T174" s="2">
        <v>66501.7</v>
      </c>
      <c r="U174" s="2">
        <v>-55149.32</v>
      </c>
      <c r="V174" s="2">
        <v>19646.71</v>
      </c>
      <c r="W174" s="2">
        <v>30999.09</v>
      </c>
    </row>
    <row r="175" spans="1:23" ht="15.75" customHeight="1">
      <c r="A175">
        <v>297</v>
      </c>
      <c r="B175" s="1">
        <v>44805</v>
      </c>
      <c r="C175" t="s">
        <v>55</v>
      </c>
      <c r="D175">
        <v>3</v>
      </c>
      <c r="E175" t="s">
        <v>51</v>
      </c>
      <c r="F175">
        <v>9</v>
      </c>
      <c r="G175" t="s">
        <v>25</v>
      </c>
      <c r="H175" t="s">
        <v>30</v>
      </c>
      <c r="I175" t="s">
        <v>31</v>
      </c>
      <c r="J175" t="s">
        <v>39</v>
      </c>
      <c r="K175" s="2">
        <v>152355.43</v>
      </c>
      <c r="L175" s="2">
        <v>94576.69</v>
      </c>
      <c r="M175" s="2">
        <v>57778.74</v>
      </c>
      <c r="N175" s="2">
        <v>14280.71</v>
      </c>
      <c r="O175" s="2">
        <v>43498.03</v>
      </c>
      <c r="P175" s="3">
        <v>28.55</v>
      </c>
      <c r="Q175" s="2">
        <v>4040187.53</v>
      </c>
      <c r="R175" s="2">
        <v>2260343.62</v>
      </c>
      <c r="S175" s="2">
        <v>1779843.91</v>
      </c>
      <c r="T175" s="2">
        <v>73325.119999999995</v>
      </c>
      <c r="U175" s="2">
        <v>-54939.19</v>
      </c>
      <c r="V175" s="2">
        <v>-18276.91</v>
      </c>
      <c r="W175" s="2">
        <v>109.02</v>
      </c>
    </row>
    <row r="176" spans="1:23" ht="15.75" customHeight="1">
      <c r="A176">
        <v>163</v>
      </c>
      <c r="B176" s="1">
        <v>44809</v>
      </c>
      <c r="C176" t="s">
        <v>55</v>
      </c>
      <c r="D176">
        <v>3</v>
      </c>
      <c r="E176" t="s">
        <v>51</v>
      </c>
      <c r="F176">
        <v>9</v>
      </c>
      <c r="G176" t="s">
        <v>37</v>
      </c>
      <c r="H176" t="s">
        <v>34</v>
      </c>
      <c r="I176" t="s">
        <v>31</v>
      </c>
      <c r="J176" t="s">
        <v>29</v>
      </c>
      <c r="K176" s="2">
        <v>165469.46</v>
      </c>
      <c r="L176" s="2">
        <v>89739.4</v>
      </c>
      <c r="M176" s="2">
        <v>75730.06</v>
      </c>
      <c r="N176" s="2">
        <v>9559.52</v>
      </c>
      <c r="O176" s="2">
        <v>66170.539999999994</v>
      </c>
      <c r="P176" s="3">
        <v>39.99</v>
      </c>
      <c r="Q176" s="2">
        <v>3917292.18</v>
      </c>
      <c r="R176" s="2">
        <v>1684027.99</v>
      </c>
      <c r="S176" s="2">
        <v>2233264.19</v>
      </c>
      <c r="T176" s="2">
        <v>98307.38</v>
      </c>
      <c r="U176" s="2">
        <v>-63463.38</v>
      </c>
      <c r="V176" s="2">
        <v>8757.1200000000008</v>
      </c>
      <c r="W176" s="2">
        <v>43601.120000000003</v>
      </c>
    </row>
    <row r="177" spans="1:23" ht="15.75" customHeight="1">
      <c r="A177">
        <v>522</v>
      </c>
      <c r="B177" s="1">
        <v>44809</v>
      </c>
      <c r="C177" t="s">
        <v>55</v>
      </c>
      <c r="D177">
        <v>3</v>
      </c>
      <c r="E177" t="s">
        <v>51</v>
      </c>
      <c r="F177">
        <v>9</v>
      </c>
      <c r="G177" t="s">
        <v>29</v>
      </c>
      <c r="H177" t="s">
        <v>30</v>
      </c>
      <c r="I177" t="s">
        <v>35</v>
      </c>
      <c r="J177" t="s">
        <v>28</v>
      </c>
      <c r="K177" s="2">
        <v>59453.83</v>
      </c>
      <c r="L177" s="2">
        <v>31332.12</v>
      </c>
      <c r="M177" s="2">
        <v>28121.71</v>
      </c>
      <c r="N177" s="2">
        <v>5853.04</v>
      </c>
      <c r="O177" s="2">
        <v>22268.67</v>
      </c>
      <c r="P177" s="3">
        <v>37.46</v>
      </c>
      <c r="Q177" s="2">
        <v>1640207.29</v>
      </c>
      <c r="R177" s="2">
        <v>997296.26</v>
      </c>
      <c r="S177" s="2">
        <v>642911.03</v>
      </c>
      <c r="T177" s="2">
        <v>38183</v>
      </c>
      <c r="U177" s="2">
        <v>-34922.239999999998</v>
      </c>
      <c r="V177" s="2">
        <v>43269.37</v>
      </c>
      <c r="W177" s="2">
        <v>46530.13</v>
      </c>
    </row>
    <row r="178" spans="1:23" ht="15.75" customHeight="1">
      <c r="A178">
        <v>332</v>
      </c>
      <c r="B178" s="1">
        <v>44820</v>
      </c>
      <c r="C178" t="s">
        <v>55</v>
      </c>
      <c r="D178">
        <v>3</v>
      </c>
      <c r="E178" t="s">
        <v>51</v>
      </c>
      <c r="F178">
        <v>9</v>
      </c>
      <c r="G178" t="s">
        <v>29</v>
      </c>
      <c r="H178" t="s">
        <v>34</v>
      </c>
      <c r="I178" t="s">
        <v>35</v>
      </c>
      <c r="J178" t="s">
        <v>37</v>
      </c>
      <c r="K178" s="2">
        <v>42793.52</v>
      </c>
      <c r="L178" s="2">
        <v>34164.94</v>
      </c>
      <c r="M178" s="2">
        <v>8628.58</v>
      </c>
      <c r="N178" s="2">
        <v>1840.61</v>
      </c>
      <c r="O178" s="2">
        <v>6787.97</v>
      </c>
      <c r="P178" s="3">
        <v>15.86</v>
      </c>
      <c r="Q178" s="2">
        <v>2580760.2999999998</v>
      </c>
      <c r="R178" s="2">
        <v>1538094.54</v>
      </c>
      <c r="S178" s="2">
        <v>1042665.76</v>
      </c>
      <c r="T178" s="2">
        <v>-3255.37</v>
      </c>
      <c r="U178" s="2">
        <v>1712.06</v>
      </c>
      <c r="V178" s="2">
        <v>45613.25</v>
      </c>
      <c r="W178" s="2">
        <v>44069.94</v>
      </c>
    </row>
    <row r="179" spans="1:23" ht="15.75" customHeight="1">
      <c r="A179">
        <v>462</v>
      </c>
      <c r="B179" s="1">
        <v>44822</v>
      </c>
      <c r="C179" t="s">
        <v>55</v>
      </c>
      <c r="D179">
        <v>3</v>
      </c>
      <c r="E179" t="s">
        <v>51</v>
      </c>
      <c r="F179">
        <v>9</v>
      </c>
      <c r="G179" t="s">
        <v>29</v>
      </c>
      <c r="H179" t="s">
        <v>30</v>
      </c>
      <c r="I179" t="s">
        <v>31</v>
      </c>
      <c r="J179" t="s">
        <v>39</v>
      </c>
      <c r="K179" s="2">
        <v>105291.62</v>
      </c>
      <c r="L179" s="2">
        <v>71308.63</v>
      </c>
      <c r="M179" s="2">
        <v>33982.99</v>
      </c>
      <c r="N179" s="2">
        <v>4085.56</v>
      </c>
      <c r="O179" s="2">
        <v>29897.43</v>
      </c>
      <c r="P179" s="3">
        <v>28.39</v>
      </c>
      <c r="Q179" s="2">
        <v>2675741.38</v>
      </c>
      <c r="R179" s="2">
        <v>1128252.57</v>
      </c>
      <c r="S179" s="2">
        <v>1547488.81</v>
      </c>
      <c r="T179" s="2">
        <v>5889.1</v>
      </c>
      <c r="U179" s="2">
        <v>-59383.96</v>
      </c>
      <c r="V179" s="2">
        <v>43747.25</v>
      </c>
      <c r="W179" s="2">
        <v>-9747.61</v>
      </c>
    </row>
    <row r="180" spans="1:23" ht="15.75" customHeight="1">
      <c r="A180">
        <v>227</v>
      </c>
      <c r="B180" s="1">
        <v>44824</v>
      </c>
      <c r="C180" t="s">
        <v>55</v>
      </c>
      <c r="D180">
        <v>3</v>
      </c>
      <c r="E180" t="s">
        <v>51</v>
      </c>
      <c r="F180">
        <v>9</v>
      </c>
      <c r="G180" t="s">
        <v>43</v>
      </c>
      <c r="H180" t="s">
        <v>34</v>
      </c>
      <c r="I180" t="s">
        <v>27</v>
      </c>
      <c r="J180" t="s">
        <v>44</v>
      </c>
      <c r="K180" s="2">
        <v>58439.81</v>
      </c>
      <c r="L180" s="2">
        <v>40954.089999999997</v>
      </c>
      <c r="M180" s="2">
        <v>17485.72</v>
      </c>
      <c r="N180" s="2">
        <v>3205.44</v>
      </c>
      <c r="O180" s="2">
        <v>14280.28</v>
      </c>
      <c r="P180" s="3">
        <v>24.44</v>
      </c>
      <c r="Q180" s="2">
        <v>1828856.65</v>
      </c>
      <c r="R180" s="2">
        <v>557143.55000000005</v>
      </c>
      <c r="S180" s="2">
        <v>1271713.1000000001</v>
      </c>
      <c r="T180" s="2">
        <v>36411.46</v>
      </c>
      <c r="U180" s="2">
        <v>3859.75</v>
      </c>
      <c r="V180" s="2">
        <v>-8437.27</v>
      </c>
      <c r="W180" s="2">
        <v>31833.94</v>
      </c>
    </row>
    <row r="181" spans="1:23" ht="15.75" customHeight="1">
      <c r="A181">
        <v>357</v>
      </c>
      <c r="B181" s="1">
        <v>44824</v>
      </c>
      <c r="C181" t="s">
        <v>55</v>
      </c>
      <c r="D181">
        <v>3</v>
      </c>
      <c r="E181" t="s">
        <v>51</v>
      </c>
      <c r="F181">
        <v>9</v>
      </c>
      <c r="G181" t="s">
        <v>40</v>
      </c>
      <c r="H181" t="s">
        <v>34</v>
      </c>
      <c r="I181" t="s">
        <v>35</v>
      </c>
      <c r="J181" t="s">
        <v>29</v>
      </c>
      <c r="K181" s="2">
        <v>50011.94</v>
      </c>
      <c r="L181" s="2">
        <v>33089.82</v>
      </c>
      <c r="M181" s="2">
        <v>16922.12</v>
      </c>
      <c r="N181" s="2">
        <v>3670.81</v>
      </c>
      <c r="O181" s="2">
        <v>13251.31</v>
      </c>
      <c r="P181" s="3">
        <v>26.5</v>
      </c>
      <c r="Q181" s="2">
        <v>3920724.18</v>
      </c>
      <c r="R181" s="2">
        <v>1221540.68</v>
      </c>
      <c r="S181" s="2">
        <v>2699183.5</v>
      </c>
      <c r="T181" s="2">
        <v>-4808.7299999999996</v>
      </c>
      <c r="U181" s="2">
        <v>-43182.559999999998</v>
      </c>
      <c r="V181" s="2">
        <v>-3892.53</v>
      </c>
      <c r="W181" s="2">
        <v>-51883.82</v>
      </c>
    </row>
    <row r="182" spans="1:23" ht="15.75" customHeight="1">
      <c r="A182">
        <v>226</v>
      </c>
      <c r="B182" s="1">
        <v>44829</v>
      </c>
      <c r="C182" t="s">
        <v>55</v>
      </c>
      <c r="D182">
        <v>3</v>
      </c>
      <c r="E182" t="s">
        <v>51</v>
      </c>
      <c r="F182">
        <v>9</v>
      </c>
      <c r="G182" t="s">
        <v>37</v>
      </c>
      <c r="H182" t="s">
        <v>36</v>
      </c>
      <c r="I182" t="s">
        <v>35</v>
      </c>
      <c r="J182" t="s">
        <v>39</v>
      </c>
      <c r="K182" s="2">
        <v>82321.05</v>
      </c>
      <c r="L182" s="2">
        <v>38639.14</v>
      </c>
      <c r="M182" s="2">
        <v>43681.91</v>
      </c>
      <c r="N182" s="2">
        <v>9194.4500000000007</v>
      </c>
      <c r="O182" s="2">
        <v>34487.46</v>
      </c>
      <c r="P182" s="3">
        <v>41.89</v>
      </c>
      <c r="Q182" s="2">
        <v>2374269.94</v>
      </c>
      <c r="R182" s="2">
        <v>1374398.28</v>
      </c>
      <c r="S182" s="2">
        <v>999871.66</v>
      </c>
      <c r="T182" s="2">
        <v>72515.3</v>
      </c>
      <c r="U182" s="2">
        <v>-48800.59</v>
      </c>
      <c r="V182" s="2">
        <v>25735.35</v>
      </c>
      <c r="W182" s="2">
        <v>49450.06</v>
      </c>
    </row>
    <row r="183" spans="1:23" ht="15.75" customHeight="1">
      <c r="A183">
        <v>564</v>
      </c>
      <c r="B183" s="1">
        <v>44830</v>
      </c>
      <c r="C183" t="s">
        <v>55</v>
      </c>
      <c r="D183">
        <v>3</v>
      </c>
      <c r="E183" t="s">
        <v>51</v>
      </c>
      <c r="F183">
        <v>9</v>
      </c>
      <c r="G183" t="s">
        <v>37</v>
      </c>
      <c r="H183" t="s">
        <v>30</v>
      </c>
      <c r="I183" t="s">
        <v>38</v>
      </c>
      <c r="J183" t="s">
        <v>37</v>
      </c>
      <c r="K183" s="2">
        <v>166777.66</v>
      </c>
      <c r="L183" s="2">
        <v>105505.41</v>
      </c>
      <c r="M183" s="2">
        <v>61272.25</v>
      </c>
      <c r="N183" s="2">
        <v>9626.32</v>
      </c>
      <c r="O183" s="2">
        <v>51645.93</v>
      </c>
      <c r="P183" s="3">
        <v>30.97</v>
      </c>
      <c r="Q183" s="2">
        <v>671221.3</v>
      </c>
      <c r="R183" s="2">
        <v>363436</v>
      </c>
      <c r="S183" s="2">
        <v>307785.3</v>
      </c>
      <c r="T183" s="2">
        <v>63891.38</v>
      </c>
      <c r="U183" s="2">
        <v>-49791.91</v>
      </c>
      <c r="V183" s="2">
        <v>-28992.62</v>
      </c>
      <c r="W183" s="2">
        <v>-14893.15</v>
      </c>
    </row>
    <row r="184" spans="1:23" ht="15.75" customHeight="1">
      <c r="A184">
        <v>544</v>
      </c>
      <c r="B184" s="1">
        <v>44832</v>
      </c>
      <c r="C184" t="s">
        <v>55</v>
      </c>
      <c r="D184">
        <v>3</v>
      </c>
      <c r="E184" t="s">
        <v>51</v>
      </c>
      <c r="F184">
        <v>9</v>
      </c>
      <c r="G184" t="s">
        <v>37</v>
      </c>
      <c r="H184" t="s">
        <v>30</v>
      </c>
      <c r="I184" t="s">
        <v>31</v>
      </c>
      <c r="J184" t="s">
        <v>37</v>
      </c>
      <c r="K184" s="2">
        <v>169704.97</v>
      </c>
      <c r="L184" s="2">
        <v>134926.10999999999</v>
      </c>
      <c r="M184" s="2">
        <v>34778.86</v>
      </c>
      <c r="N184" s="2">
        <v>3522.72</v>
      </c>
      <c r="O184" s="2">
        <v>31256.14</v>
      </c>
      <c r="P184" s="3">
        <v>18.420000000000002</v>
      </c>
      <c r="Q184" s="2">
        <v>2219242.4700000002</v>
      </c>
      <c r="R184" s="2">
        <v>579869.19999999995</v>
      </c>
      <c r="S184" s="2">
        <v>1639373.27</v>
      </c>
      <c r="T184" s="2">
        <v>69669.37</v>
      </c>
      <c r="U184" s="2">
        <v>-34124.42</v>
      </c>
      <c r="V184" s="2">
        <v>23111.7</v>
      </c>
      <c r="W184" s="2">
        <v>58656.65</v>
      </c>
    </row>
    <row r="185" spans="1:23" ht="15.75" customHeight="1">
      <c r="A185">
        <v>390</v>
      </c>
      <c r="B185" s="1">
        <v>44836</v>
      </c>
      <c r="C185" t="s">
        <v>55</v>
      </c>
      <c r="D185">
        <v>4</v>
      </c>
      <c r="E185" t="s">
        <v>52</v>
      </c>
      <c r="F185">
        <v>10</v>
      </c>
      <c r="G185" t="s">
        <v>33</v>
      </c>
      <c r="H185" t="s">
        <v>36</v>
      </c>
      <c r="I185" t="s">
        <v>27</v>
      </c>
      <c r="J185" t="s">
        <v>39</v>
      </c>
      <c r="K185" s="2">
        <v>164872.51</v>
      </c>
      <c r="L185" s="2">
        <v>97569.85</v>
      </c>
      <c r="M185" s="2">
        <v>67302.66</v>
      </c>
      <c r="N185" s="2">
        <v>7859.37</v>
      </c>
      <c r="O185" s="2">
        <v>59443.29</v>
      </c>
      <c r="P185" s="3">
        <v>36.049999999999997</v>
      </c>
      <c r="Q185" s="2">
        <v>2491598.06</v>
      </c>
      <c r="R185" s="2">
        <v>671099.69</v>
      </c>
      <c r="S185" s="2">
        <v>1820498.37</v>
      </c>
      <c r="T185" s="2">
        <v>95082.3</v>
      </c>
      <c r="U185" s="2">
        <v>12634.08</v>
      </c>
      <c r="V185" s="2">
        <v>18800.05</v>
      </c>
      <c r="W185" s="2">
        <v>126516.43</v>
      </c>
    </row>
    <row r="186" spans="1:23" ht="15.75" customHeight="1">
      <c r="A186">
        <v>321</v>
      </c>
      <c r="B186" s="1">
        <v>44837</v>
      </c>
      <c r="C186" t="s">
        <v>55</v>
      </c>
      <c r="D186">
        <v>4</v>
      </c>
      <c r="E186" t="s">
        <v>52</v>
      </c>
      <c r="F186">
        <v>10</v>
      </c>
      <c r="G186" t="s">
        <v>25</v>
      </c>
      <c r="H186" t="s">
        <v>26</v>
      </c>
      <c r="I186" t="s">
        <v>35</v>
      </c>
      <c r="J186" t="s">
        <v>29</v>
      </c>
      <c r="K186" s="2">
        <v>141509.81</v>
      </c>
      <c r="L186" s="2">
        <v>96323.86</v>
      </c>
      <c r="M186" s="2">
        <v>45185.95</v>
      </c>
      <c r="N186" s="2">
        <v>8226</v>
      </c>
      <c r="O186" s="2">
        <v>36959.949999999997</v>
      </c>
      <c r="P186" s="3">
        <v>26.12</v>
      </c>
      <c r="Q186" s="2">
        <v>740815.08</v>
      </c>
      <c r="R186" s="2">
        <v>296779.5</v>
      </c>
      <c r="S186" s="2">
        <v>444035.58</v>
      </c>
      <c r="T186" s="2">
        <v>25524.41</v>
      </c>
      <c r="U186" s="2">
        <v>-43462.99</v>
      </c>
      <c r="V186" s="2">
        <v>15433.75</v>
      </c>
      <c r="W186" s="2">
        <v>-2504.83</v>
      </c>
    </row>
    <row r="187" spans="1:23" ht="15.75" customHeight="1">
      <c r="A187">
        <v>264</v>
      </c>
      <c r="B187" s="1">
        <v>44838</v>
      </c>
      <c r="C187" t="s">
        <v>55</v>
      </c>
      <c r="D187">
        <v>4</v>
      </c>
      <c r="E187" t="s">
        <v>52</v>
      </c>
      <c r="F187">
        <v>10</v>
      </c>
      <c r="G187" t="s">
        <v>29</v>
      </c>
      <c r="H187" t="s">
        <v>34</v>
      </c>
      <c r="I187" t="s">
        <v>27</v>
      </c>
      <c r="J187" t="s">
        <v>32</v>
      </c>
      <c r="K187" s="2">
        <v>176957.15</v>
      </c>
      <c r="L187" s="2">
        <v>84050.39</v>
      </c>
      <c r="M187" s="2">
        <v>92906.76</v>
      </c>
      <c r="N187" s="2">
        <v>15624.98</v>
      </c>
      <c r="O187" s="2">
        <v>77281.78</v>
      </c>
      <c r="P187" s="3">
        <v>43.67</v>
      </c>
      <c r="Q187" s="2">
        <v>1307141.07</v>
      </c>
      <c r="R187" s="2">
        <v>834309.74</v>
      </c>
      <c r="S187" s="2">
        <v>472831.33</v>
      </c>
      <c r="T187" s="2">
        <v>56346.06</v>
      </c>
      <c r="U187" s="2">
        <v>-29639.9</v>
      </c>
      <c r="V187" s="2">
        <v>33788.5</v>
      </c>
      <c r="W187" s="2">
        <v>60494.66</v>
      </c>
    </row>
    <row r="188" spans="1:23" ht="15.75" customHeight="1">
      <c r="A188">
        <v>165</v>
      </c>
      <c r="B188" s="1">
        <v>44839</v>
      </c>
      <c r="C188" t="s">
        <v>55</v>
      </c>
      <c r="D188">
        <v>4</v>
      </c>
      <c r="E188" t="s">
        <v>52</v>
      </c>
      <c r="F188">
        <v>10</v>
      </c>
      <c r="G188" t="s">
        <v>37</v>
      </c>
      <c r="H188" t="s">
        <v>26</v>
      </c>
      <c r="I188" t="s">
        <v>27</v>
      </c>
      <c r="J188" t="s">
        <v>44</v>
      </c>
      <c r="K188" s="2">
        <v>147095.51999999999</v>
      </c>
      <c r="L188" s="2">
        <v>100177.55</v>
      </c>
      <c r="M188" s="2">
        <v>46917.97</v>
      </c>
      <c r="N188" s="2">
        <v>7697.45</v>
      </c>
      <c r="O188" s="2">
        <v>39220.519999999997</v>
      </c>
      <c r="P188" s="3">
        <v>26.66</v>
      </c>
      <c r="Q188" s="2">
        <v>4907978.78</v>
      </c>
      <c r="R188" s="2">
        <v>1511588.89</v>
      </c>
      <c r="S188" s="2">
        <v>3396389.89</v>
      </c>
      <c r="T188" s="2">
        <v>67232.98</v>
      </c>
      <c r="U188" s="2">
        <v>-50880.93</v>
      </c>
      <c r="V188" s="2">
        <v>-6173.69</v>
      </c>
      <c r="W188" s="2">
        <v>10178.36</v>
      </c>
    </row>
    <row r="189" spans="1:23" ht="15.75" customHeight="1">
      <c r="A189">
        <v>208</v>
      </c>
      <c r="B189" s="1">
        <v>44842</v>
      </c>
      <c r="C189" t="s">
        <v>55</v>
      </c>
      <c r="D189">
        <v>4</v>
      </c>
      <c r="E189" t="s">
        <v>52</v>
      </c>
      <c r="F189">
        <v>10</v>
      </c>
      <c r="G189" t="s">
        <v>37</v>
      </c>
      <c r="H189" t="s">
        <v>30</v>
      </c>
      <c r="I189" t="s">
        <v>35</v>
      </c>
      <c r="J189" t="s">
        <v>41</v>
      </c>
      <c r="K189" s="2">
        <v>109168.81</v>
      </c>
      <c r="L189" s="2">
        <v>58325.34</v>
      </c>
      <c r="M189" s="2">
        <v>50843.47</v>
      </c>
      <c r="N189" s="2">
        <v>12399.95</v>
      </c>
      <c r="O189" s="2">
        <v>38443.519999999997</v>
      </c>
      <c r="P189" s="3">
        <v>35.21</v>
      </c>
      <c r="Q189" s="2">
        <v>4592545.75</v>
      </c>
      <c r="R189" s="2">
        <v>2474726.7799999998</v>
      </c>
      <c r="S189" s="2">
        <v>2117818.9700000002</v>
      </c>
      <c r="T189" s="2">
        <v>51114.45</v>
      </c>
      <c r="U189" s="2">
        <v>16996.919999999998</v>
      </c>
      <c r="V189" s="2">
        <v>-26934.77</v>
      </c>
      <c r="W189" s="2">
        <v>41176.6</v>
      </c>
    </row>
    <row r="190" spans="1:23" ht="15.75" customHeight="1">
      <c r="A190">
        <v>59</v>
      </c>
      <c r="B190" s="1">
        <v>44843</v>
      </c>
      <c r="C190" t="s">
        <v>55</v>
      </c>
      <c r="D190">
        <v>4</v>
      </c>
      <c r="E190" t="s">
        <v>52</v>
      </c>
      <c r="F190">
        <v>10</v>
      </c>
      <c r="G190" t="s">
        <v>40</v>
      </c>
      <c r="H190" t="s">
        <v>36</v>
      </c>
      <c r="I190" t="s">
        <v>35</v>
      </c>
      <c r="J190" t="s">
        <v>37</v>
      </c>
      <c r="K190" s="2">
        <v>132139.39000000001</v>
      </c>
      <c r="L190" s="2">
        <v>92864.66</v>
      </c>
      <c r="M190" s="2">
        <v>39274.730000000003</v>
      </c>
      <c r="N190" s="2">
        <v>8634.1299999999992</v>
      </c>
      <c r="O190" s="2">
        <v>30640.6</v>
      </c>
      <c r="P190" s="3">
        <v>23.19</v>
      </c>
      <c r="Q190" s="2">
        <v>2883477.55</v>
      </c>
      <c r="R190" s="2">
        <v>1660945.85</v>
      </c>
      <c r="S190" s="2">
        <v>1222531.7</v>
      </c>
      <c r="T190" s="2">
        <v>40487.86</v>
      </c>
      <c r="U190" s="2">
        <v>-63282.46</v>
      </c>
      <c r="V190" s="2">
        <v>524.80999999999995</v>
      </c>
      <c r="W190" s="2">
        <v>-22269.79</v>
      </c>
    </row>
    <row r="191" spans="1:23" ht="15.75" customHeight="1">
      <c r="A191">
        <v>129</v>
      </c>
      <c r="B191" s="1">
        <v>44844</v>
      </c>
      <c r="C191" t="s">
        <v>55</v>
      </c>
      <c r="D191">
        <v>4</v>
      </c>
      <c r="E191" t="s">
        <v>52</v>
      </c>
      <c r="F191">
        <v>10</v>
      </c>
      <c r="G191" t="s">
        <v>29</v>
      </c>
      <c r="H191" t="s">
        <v>30</v>
      </c>
      <c r="I191" t="s">
        <v>31</v>
      </c>
      <c r="J191" t="s">
        <v>28</v>
      </c>
      <c r="K191" s="2">
        <v>77959.55</v>
      </c>
      <c r="L191" s="2">
        <v>46069.15</v>
      </c>
      <c r="M191" s="2">
        <v>31890.400000000001</v>
      </c>
      <c r="N191" s="2">
        <v>4428.7700000000004</v>
      </c>
      <c r="O191" s="2">
        <v>27461.63</v>
      </c>
      <c r="P191" s="3">
        <v>35.229999999999997</v>
      </c>
      <c r="Q191" s="2">
        <v>1575748.99</v>
      </c>
      <c r="R191" s="2">
        <v>715216.23</v>
      </c>
      <c r="S191" s="2">
        <v>860532.76</v>
      </c>
      <c r="T191" s="2">
        <v>63484.52</v>
      </c>
      <c r="U191" s="2">
        <v>-42029.65</v>
      </c>
      <c r="V191" s="2">
        <v>54238.7</v>
      </c>
      <c r="W191" s="2">
        <v>75693.570000000007</v>
      </c>
    </row>
    <row r="192" spans="1:23" ht="15.75" customHeight="1">
      <c r="A192">
        <v>235</v>
      </c>
      <c r="B192" s="1">
        <v>44845</v>
      </c>
      <c r="C192" t="s">
        <v>55</v>
      </c>
      <c r="D192">
        <v>4</v>
      </c>
      <c r="E192" t="s">
        <v>52</v>
      </c>
      <c r="F192">
        <v>10</v>
      </c>
      <c r="G192" t="s">
        <v>33</v>
      </c>
      <c r="H192" t="s">
        <v>30</v>
      </c>
      <c r="I192" t="s">
        <v>35</v>
      </c>
      <c r="J192" t="s">
        <v>39</v>
      </c>
      <c r="K192" s="2">
        <v>146104.89000000001</v>
      </c>
      <c r="L192" s="2">
        <v>97009.32</v>
      </c>
      <c r="M192" s="2">
        <v>49095.57</v>
      </c>
      <c r="N192" s="2">
        <v>5154.2299999999996</v>
      </c>
      <c r="O192" s="2">
        <v>43941.34</v>
      </c>
      <c r="P192" s="3">
        <v>30.08</v>
      </c>
      <c r="Q192" s="2">
        <v>4150056.96</v>
      </c>
      <c r="R192" s="2">
        <v>2093213.54</v>
      </c>
      <c r="S192" s="2">
        <v>2056843.42</v>
      </c>
      <c r="T192" s="2">
        <v>44994.6</v>
      </c>
      <c r="U192" s="2">
        <v>-2586.9699999999998</v>
      </c>
      <c r="V192" s="2">
        <v>-14009.5</v>
      </c>
      <c r="W192" s="2">
        <v>28398.13</v>
      </c>
    </row>
    <row r="193" spans="1:23" ht="15.75" customHeight="1">
      <c r="A193">
        <v>494</v>
      </c>
      <c r="B193" s="1">
        <v>44850</v>
      </c>
      <c r="C193" t="s">
        <v>55</v>
      </c>
      <c r="D193">
        <v>4</v>
      </c>
      <c r="E193" t="s">
        <v>52</v>
      </c>
      <c r="F193">
        <v>10</v>
      </c>
      <c r="G193" t="s">
        <v>40</v>
      </c>
      <c r="H193" t="s">
        <v>36</v>
      </c>
      <c r="I193" t="s">
        <v>38</v>
      </c>
      <c r="J193" t="s">
        <v>37</v>
      </c>
      <c r="K193" s="2">
        <v>117937.58</v>
      </c>
      <c r="L193" s="2">
        <v>77087.539999999994</v>
      </c>
      <c r="M193" s="2">
        <v>40850.04</v>
      </c>
      <c r="N193" s="2">
        <v>6837.17</v>
      </c>
      <c r="O193" s="2">
        <v>34012.870000000003</v>
      </c>
      <c r="P193" s="3">
        <v>28.84</v>
      </c>
      <c r="Q193" s="2">
        <v>3605554.03</v>
      </c>
      <c r="R193" s="2">
        <v>2109176.41</v>
      </c>
      <c r="S193" s="2">
        <v>1496377.62</v>
      </c>
      <c r="T193" s="2">
        <v>29852.04</v>
      </c>
      <c r="U193" s="2">
        <v>18901.22</v>
      </c>
      <c r="V193" s="2">
        <v>-23936.639999999999</v>
      </c>
      <c r="W193" s="2">
        <v>24816.62</v>
      </c>
    </row>
    <row r="194" spans="1:23" ht="15.75" customHeight="1">
      <c r="A194">
        <v>541</v>
      </c>
      <c r="B194" s="1">
        <v>44852</v>
      </c>
      <c r="C194" t="s">
        <v>55</v>
      </c>
      <c r="D194">
        <v>4</v>
      </c>
      <c r="E194" t="s">
        <v>52</v>
      </c>
      <c r="F194">
        <v>10</v>
      </c>
      <c r="G194" t="s">
        <v>29</v>
      </c>
      <c r="H194" t="s">
        <v>34</v>
      </c>
      <c r="I194" t="s">
        <v>31</v>
      </c>
      <c r="J194" t="s">
        <v>28</v>
      </c>
      <c r="K194" s="2">
        <v>166317.82</v>
      </c>
      <c r="L194" s="2">
        <v>118047.49</v>
      </c>
      <c r="M194" s="2">
        <v>48270.33</v>
      </c>
      <c r="N194" s="2">
        <v>8025.24</v>
      </c>
      <c r="O194" s="2">
        <v>40245.089999999997</v>
      </c>
      <c r="P194" s="3">
        <v>24.2</v>
      </c>
      <c r="Q194" s="2">
        <v>2486767.65</v>
      </c>
      <c r="R194" s="2">
        <v>751672.9</v>
      </c>
      <c r="S194" s="2">
        <v>1735094.75</v>
      </c>
      <c r="T194" s="2">
        <v>33525.040000000001</v>
      </c>
      <c r="U194" s="2">
        <v>16895.91</v>
      </c>
      <c r="V194" s="2">
        <v>50445.279999999999</v>
      </c>
      <c r="W194" s="2">
        <v>100866.23</v>
      </c>
    </row>
    <row r="195" spans="1:23" ht="15.75" customHeight="1">
      <c r="A195">
        <v>548</v>
      </c>
      <c r="B195" s="1">
        <v>44853</v>
      </c>
      <c r="C195" t="s">
        <v>55</v>
      </c>
      <c r="D195">
        <v>4</v>
      </c>
      <c r="E195" t="s">
        <v>52</v>
      </c>
      <c r="F195">
        <v>10</v>
      </c>
      <c r="G195" t="s">
        <v>25</v>
      </c>
      <c r="H195" t="s">
        <v>30</v>
      </c>
      <c r="I195" t="s">
        <v>31</v>
      </c>
      <c r="J195" t="s">
        <v>28</v>
      </c>
      <c r="K195" s="2">
        <v>147462.9</v>
      </c>
      <c r="L195" s="2">
        <v>99983.91</v>
      </c>
      <c r="M195" s="2">
        <v>47478.99</v>
      </c>
      <c r="N195" s="2">
        <v>4160.41</v>
      </c>
      <c r="O195" s="2">
        <v>43318.58</v>
      </c>
      <c r="P195" s="3">
        <v>29.38</v>
      </c>
      <c r="Q195" s="2">
        <v>3301461.46</v>
      </c>
      <c r="R195" s="2">
        <v>1233317.3500000001</v>
      </c>
      <c r="S195" s="2">
        <v>2068144.11</v>
      </c>
      <c r="T195" s="2">
        <v>42816.59</v>
      </c>
      <c r="U195" s="2">
        <v>6973.14</v>
      </c>
      <c r="V195" s="2">
        <v>41093.519999999997</v>
      </c>
      <c r="W195" s="2">
        <v>90883.25</v>
      </c>
    </row>
    <row r="196" spans="1:23" ht="15.75" customHeight="1">
      <c r="A196">
        <v>419</v>
      </c>
      <c r="B196" s="1">
        <v>44855</v>
      </c>
      <c r="C196" t="s">
        <v>55</v>
      </c>
      <c r="D196">
        <v>4</v>
      </c>
      <c r="E196" t="s">
        <v>52</v>
      </c>
      <c r="F196">
        <v>10</v>
      </c>
      <c r="G196" t="s">
        <v>25</v>
      </c>
      <c r="H196" t="s">
        <v>26</v>
      </c>
      <c r="I196" t="s">
        <v>27</v>
      </c>
      <c r="J196" t="s">
        <v>37</v>
      </c>
      <c r="K196" s="2">
        <v>38059.58</v>
      </c>
      <c r="L196" s="2">
        <v>26739.96</v>
      </c>
      <c r="M196" s="2">
        <v>11319.62</v>
      </c>
      <c r="N196" s="2">
        <v>1358.99</v>
      </c>
      <c r="O196" s="2">
        <v>9960.6299999999992</v>
      </c>
      <c r="P196" s="3">
        <v>26.17</v>
      </c>
      <c r="Q196" s="2">
        <v>4746083.6500000004</v>
      </c>
      <c r="R196" s="2">
        <v>2840534.15</v>
      </c>
      <c r="S196" s="2">
        <v>1905549.5</v>
      </c>
      <c r="T196" s="2">
        <v>3115.9</v>
      </c>
      <c r="U196" s="2">
        <v>8321.5499999999993</v>
      </c>
      <c r="V196" s="2">
        <v>40324.49</v>
      </c>
      <c r="W196" s="2">
        <v>51761.94</v>
      </c>
    </row>
    <row r="197" spans="1:23" ht="15.75" customHeight="1">
      <c r="A197">
        <v>305</v>
      </c>
      <c r="B197" s="1">
        <v>44856</v>
      </c>
      <c r="C197" t="s">
        <v>55</v>
      </c>
      <c r="D197">
        <v>4</v>
      </c>
      <c r="E197" t="s">
        <v>52</v>
      </c>
      <c r="F197">
        <v>10</v>
      </c>
      <c r="G197" t="s">
        <v>40</v>
      </c>
      <c r="H197" t="s">
        <v>36</v>
      </c>
      <c r="I197" t="s">
        <v>31</v>
      </c>
      <c r="J197" t="s">
        <v>37</v>
      </c>
      <c r="K197" s="2">
        <v>124859.79</v>
      </c>
      <c r="L197" s="2">
        <v>101195.32</v>
      </c>
      <c r="M197" s="2">
        <v>23664.47</v>
      </c>
      <c r="N197" s="2">
        <v>2173.96</v>
      </c>
      <c r="O197" s="2">
        <v>21490.51</v>
      </c>
      <c r="P197" s="3">
        <v>17.21</v>
      </c>
      <c r="Q197" s="2">
        <v>2996094.69</v>
      </c>
      <c r="R197" s="2">
        <v>1645208.74</v>
      </c>
      <c r="S197" s="2">
        <v>1350885.95</v>
      </c>
      <c r="T197" s="2">
        <v>56311.199999999997</v>
      </c>
      <c r="U197" s="2">
        <v>-28617.25</v>
      </c>
      <c r="V197" s="2">
        <v>-19583.34</v>
      </c>
      <c r="W197" s="2">
        <v>8110.61</v>
      </c>
    </row>
    <row r="198" spans="1:23" ht="15.75" customHeight="1">
      <c r="A198">
        <v>241</v>
      </c>
      <c r="B198" s="1">
        <v>44860</v>
      </c>
      <c r="C198" t="s">
        <v>55</v>
      </c>
      <c r="D198">
        <v>4</v>
      </c>
      <c r="E198" t="s">
        <v>52</v>
      </c>
      <c r="F198">
        <v>10</v>
      </c>
      <c r="G198" t="s">
        <v>43</v>
      </c>
      <c r="H198" t="s">
        <v>34</v>
      </c>
      <c r="I198" t="s">
        <v>31</v>
      </c>
      <c r="J198" t="s">
        <v>39</v>
      </c>
      <c r="K198" s="2">
        <v>174893.17</v>
      </c>
      <c r="L198" s="2">
        <v>104119.8</v>
      </c>
      <c r="M198" s="2">
        <v>70773.37</v>
      </c>
      <c r="N198" s="2">
        <v>15939.42</v>
      </c>
      <c r="O198" s="2">
        <v>54833.95</v>
      </c>
      <c r="P198" s="3">
        <v>31.35</v>
      </c>
      <c r="Q198" s="2">
        <v>3978900.69</v>
      </c>
      <c r="R198" s="2">
        <v>1488108.76</v>
      </c>
      <c r="S198" s="2">
        <v>2490791.9300000002</v>
      </c>
      <c r="T198" s="2">
        <v>43397.14</v>
      </c>
      <c r="U198" s="2">
        <v>-24176.53</v>
      </c>
      <c r="V198" s="2">
        <v>38134.879999999997</v>
      </c>
      <c r="W198" s="2">
        <v>57355.49</v>
      </c>
    </row>
    <row r="199" spans="1:23" ht="15.75" customHeight="1">
      <c r="A199">
        <v>204</v>
      </c>
      <c r="B199" s="1">
        <v>44878</v>
      </c>
      <c r="C199" t="s">
        <v>55</v>
      </c>
      <c r="D199">
        <v>4</v>
      </c>
      <c r="E199" t="s">
        <v>53</v>
      </c>
      <c r="F199">
        <v>11</v>
      </c>
      <c r="G199" t="s">
        <v>33</v>
      </c>
      <c r="H199" t="s">
        <v>26</v>
      </c>
      <c r="I199" t="s">
        <v>35</v>
      </c>
      <c r="J199" t="s">
        <v>39</v>
      </c>
      <c r="K199" s="2">
        <v>83094.55</v>
      </c>
      <c r="L199" s="2">
        <v>51965.87</v>
      </c>
      <c r="M199" s="2">
        <v>31128.68</v>
      </c>
      <c r="N199" s="2">
        <v>4840.5600000000004</v>
      </c>
      <c r="O199" s="2">
        <v>26288.12</v>
      </c>
      <c r="P199" s="3">
        <v>31.64</v>
      </c>
      <c r="Q199" s="2">
        <v>4976860.88</v>
      </c>
      <c r="R199" s="2">
        <v>2329929.61</v>
      </c>
      <c r="S199" s="2">
        <v>2646931.27</v>
      </c>
      <c r="T199" s="2">
        <v>3344.26</v>
      </c>
      <c r="U199" s="2">
        <v>-9312.27</v>
      </c>
      <c r="V199" s="2">
        <v>-24841.57</v>
      </c>
      <c r="W199" s="2">
        <v>-30809.58</v>
      </c>
    </row>
    <row r="200" spans="1:23" ht="15.75" customHeight="1">
      <c r="A200">
        <v>516</v>
      </c>
      <c r="B200" s="1">
        <v>44878</v>
      </c>
      <c r="C200" t="s">
        <v>55</v>
      </c>
      <c r="D200">
        <v>4</v>
      </c>
      <c r="E200" t="s">
        <v>53</v>
      </c>
      <c r="F200">
        <v>11</v>
      </c>
      <c r="G200" t="s">
        <v>40</v>
      </c>
      <c r="H200" t="s">
        <v>26</v>
      </c>
      <c r="I200" t="s">
        <v>31</v>
      </c>
      <c r="J200" t="s">
        <v>37</v>
      </c>
      <c r="K200" s="2">
        <v>92896.83</v>
      </c>
      <c r="L200" s="2">
        <v>53572.32</v>
      </c>
      <c r="M200" s="2">
        <v>39324.51</v>
      </c>
      <c r="N200" s="2">
        <v>6799.25</v>
      </c>
      <c r="O200" s="2">
        <v>32525.26</v>
      </c>
      <c r="P200" s="3">
        <v>35.01</v>
      </c>
      <c r="Q200" s="2">
        <v>911089.59</v>
      </c>
      <c r="R200" s="2">
        <v>503521.52</v>
      </c>
      <c r="S200" s="2">
        <v>407568.07</v>
      </c>
      <c r="T200" s="2">
        <v>49120.07</v>
      </c>
      <c r="U200" s="2">
        <v>-51340.99</v>
      </c>
      <c r="V200" s="2">
        <v>-21176.78</v>
      </c>
      <c r="W200" s="2">
        <v>-23397.7</v>
      </c>
    </row>
    <row r="201" spans="1:23" ht="15.75" customHeight="1">
      <c r="A201">
        <v>240</v>
      </c>
      <c r="B201" s="1">
        <v>44880</v>
      </c>
      <c r="C201" t="s">
        <v>55</v>
      </c>
      <c r="D201">
        <v>4</v>
      </c>
      <c r="E201" t="s">
        <v>53</v>
      </c>
      <c r="F201">
        <v>11</v>
      </c>
      <c r="G201" t="s">
        <v>37</v>
      </c>
      <c r="H201" t="s">
        <v>30</v>
      </c>
      <c r="I201" t="s">
        <v>27</v>
      </c>
      <c r="J201" t="s">
        <v>29</v>
      </c>
      <c r="K201" s="2">
        <v>117001.94</v>
      </c>
      <c r="L201" s="2">
        <v>55814.63</v>
      </c>
      <c r="M201" s="2">
        <v>61187.31</v>
      </c>
      <c r="N201" s="2">
        <v>11368.5</v>
      </c>
      <c r="O201" s="2">
        <v>49818.81</v>
      </c>
      <c r="P201" s="3">
        <v>42.58</v>
      </c>
      <c r="Q201" s="2">
        <v>4915300.2699999996</v>
      </c>
      <c r="R201" s="2">
        <v>1602599.54</v>
      </c>
      <c r="S201" s="2">
        <v>3312700.73</v>
      </c>
      <c r="T201" s="2">
        <v>83226.42</v>
      </c>
      <c r="U201" s="2">
        <v>20789.88</v>
      </c>
      <c r="V201" s="2">
        <v>54370.16</v>
      </c>
      <c r="W201" s="2">
        <v>158386.46</v>
      </c>
    </row>
    <row r="202" spans="1:23" ht="15.75" customHeight="1">
      <c r="A202">
        <v>158</v>
      </c>
      <c r="B202" s="1">
        <v>44880</v>
      </c>
      <c r="C202" t="s">
        <v>55</v>
      </c>
      <c r="D202">
        <v>4</v>
      </c>
      <c r="E202" t="s">
        <v>53</v>
      </c>
      <c r="F202">
        <v>11</v>
      </c>
      <c r="G202" t="s">
        <v>37</v>
      </c>
      <c r="H202" t="s">
        <v>30</v>
      </c>
      <c r="I202" t="s">
        <v>31</v>
      </c>
      <c r="J202" t="s">
        <v>37</v>
      </c>
      <c r="K202" s="2">
        <v>34694.050000000003</v>
      </c>
      <c r="L202" s="2">
        <v>25899.31</v>
      </c>
      <c r="M202" s="2">
        <v>8794.74</v>
      </c>
      <c r="N202" s="2">
        <v>1849.71</v>
      </c>
      <c r="O202" s="2">
        <v>6945.03</v>
      </c>
      <c r="P202" s="3">
        <v>20.02</v>
      </c>
      <c r="Q202" s="2">
        <v>3801271.24</v>
      </c>
      <c r="R202" s="2">
        <v>1405624.21</v>
      </c>
      <c r="S202" s="2">
        <v>2395647.0299999998</v>
      </c>
      <c r="T202" s="2">
        <v>-9176.56</v>
      </c>
      <c r="U202" s="2">
        <v>-6244.67</v>
      </c>
      <c r="V202" s="2">
        <v>9616.64</v>
      </c>
      <c r="W202" s="2">
        <v>-5804.59</v>
      </c>
    </row>
    <row r="203" spans="1:23" ht="15.75" customHeight="1">
      <c r="A203">
        <v>488</v>
      </c>
      <c r="B203" s="1">
        <v>44881</v>
      </c>
      <c r="C203" t="s">
        <v>55</v>
      </c>
      <c r="D203">
        <v>4</v>
      </c>
      <c r="E203" t="s">
        <v>53</v>
      </c>
      <c r="F203">
        <v>11</v>
      </c>
      <c r="G203" t="s">
        <v>40</v>
      </c>
      <c r="H203" t="s">
        <v>34</v>
      </c>
      <c r="I203" t="s">
        <v>38</v>
      </c>
      <c r="J203" t="s">
        <v>32</v>
      </c>
      <c r="K203" s="2">
        <v>170334.17</v>
      </c>
      <c r="L203" s="2">
        <v>119487.85</v>
      </c>
      <c r="M203" s="2">
        <v>50846.32</v>
      </c>
      <c r="N203" s="2">
        <v>8996.2800000000007</v>
      </c>
      <c r="O203" s="2">
        <v>41850.04</v>
      </c>
      <c r="P203" s="3">
        <v>24.57</v>
      </c>
      <c r="Q203" s="2">
        <v>3245882.04</v>
      </c>
      <c r="R203" s="2">
        <v>2035001.12</v>
      </c>
      <c r="S203" s="2">
        <v>1210880.92</v>
      </c>
      <c r="T203" s="2">
        <v>74906.11</v>
      </c>
      <c r="U203" s="2">
        <v>-67595.88</v>
      </c>
      <c r="V203" s="2">
        <v>13413.97</v>
      </c>
      <c r="W203" s="2">
        <v>20724.2</v>
      </c>
    </row>
    <row r="204" spans="1:23" ht="15.75" customHeight="1">
      <c r="A204">
        <v>460</v>
      </c>
      <c r="B204" s="1">
        <v>44882</v>
      </c>
      <c r="C204" t="s">
        <v>55</v>
      </c>
      <c r="D204">
        <v>4</v>
      </c>
      <c r="E204" t="s">
        <v>53</v>
      </c>
      <c r="F204">
        <v>11</v>
      </c>
      <c r="G204" t="s">
        <v>33</v>
      </c>
      <c r="H204" t="s">
        <v>36</v>
      </c>
      <c r="I204" t="s">
        <v>31</v>
      </c>
      <c r="J204" t="s">
        <v>39</v>
      </c>
      <c r="K204" s="2">
        <v>127037.65</v>
      </c>
      <c r="L204" s="2">
        <v>77741.350000000006</v>
      </c>
      <c r="M204" s="2">
        <v>49296.3</v>
      </c>
      <c r="N204" s="2">
        <v>6263.01</v>
      </c>
      <c r="O204" s="2">
        <v>43033.29</v>
      </c>
      <c r="P204" s="3">
        <v>33.869999999999997</v>
      </c>
      <c r="Q204" s="2">
        <v>3011770.33</v>
      </c>
      <c r="R204" s="2">
        <v>1170979.1200000001</v>
      </c>
      <c r="S204" s="2">
        <v>1840791.21</v>
      </c>
      <c r="T204" s="2">
        <v>87662.71</v>
      </c>
      <c r="U204" s="2">
        <v>22264.51</v>
      </c>
      <c r="V204" s="2">
        <v>10237.18</v>
      </c>
      <c r="W204" s="2">
        <v>120164.4</v>
      </c>
    </row>
    <row r="205" spans="1:23" ht="15.75" customHeight="1">
      <c r="A205">
        <v>50</v>
      </c>
      <c r="B205" s="1">
        <v>44883</v>
      </c>
      <c r="C205" t="s">
        <v>55</v>
      </c>
      <c r="D205">
        <v>4</v>
      </c>
      <c r="E205" t="s">
        <v>53</v>
      </c>
      <c r="F205">
        <v>11</v>
      </c>
      <c r="G205" t="s">
        <v>33</v>
      </c>
      <c r="H205" t="s">
        <v>34</v>
      </c>
      <c r="I205" t="s">
        <v>27</v>
      </c>
      <c r="J205" t="s">
        <v>39</v>
      </c>
      <c r="K205" s="2">
        <v>127848.29</v>
      </c>
      <c r="L205" s="2">
        <v>65953.52</v>
      </c>
      <c r="M205" s="2">
        <v>61894.77</v>
      </c>
      <c r="N205" s="2">
        <v>15064.07</v>
      </c>
      <c r="O205" s="2">
        <v>46830.7</v>
      </c>
      <c r="P205" s="3">
        <v>36.630000000000003</v>
      </c>
      <c r="Q205" s="2">
        <v>1168982.27</v>
      </c>
      <c r="R205" s="2">
        <v>486120.87</v>
      </c>
      <c r="S205" s="2">
        <v>682861.4</v>
      </c>
      <c r="T205" s="2">
        <v>23658.67</v>
      </c>
      <c r="U205" s="2">
        <v>29687.43</v>
      </c>
      <c r="V205" s="2">
        <v>10219.5</v>
      </c>
      <c r="W205" s="2">
        <v>63565.599999999999</v>
      </c>
    </row>
    <row r="206" spans="1:23" ht="15.75" customHeight="1">
      <c r="A206">
        <v>392</v>
      </c>
      <c r="B206" s="1">
        <v>44884</v>
      </c>
      <c r="C206" t="s">
        <v>55</v>
      </c>
      <c r="D206">
        <v>4</v>
      </c>
      <c r="E206" t="s">
        <v>53</v>
      </c>
      <c r="F206">
        <v>11</v>
      </c>
      <c r="G206" t="s">
        <v>25</v>
      </c>
      <c r="H206" t="s">
        <v>30</v>
      </c>
      <c r="I206" t="s">
        <v>38</v>
      </c>
      <c r="J206" t="s">
        <v>28</v>
      </c>
      <c r="K206" s="2">
        <v>113599.19</v>
      </c>
      <c r="L206" s="2">
        <v>58888.71</v>
      </c>
      <c r="M206" s="2">
        <v>54710.48</v>
      </c>
      <c r="N206" s="2">
        <v>4931.04</v>
      </c>
      <c r="O206" s="2">
        <v>49779.44</v>
      </c>
      <c r="P206" s="3">
        <v>43.82</v>
      </c>
      <c r="Q206" s="2">
        <v>3219616.94</v>
      </c>
      <c r="R206" s="2">
        <v>1788422.86</v>
      </c>
      <c r="S206" s="2">
        <v>1431194.08</v>
      </c>
      <c r="T206" s="2">
        <v>61651.55</v>
      </c>
      <c r="U206" s="2">
        <v>-47322.74</v>
      </c>
      <c r="V206" s="2">
        <v>26652.2</v>
      </c>
      <c r="W206" s="2">
        <v>40981.01</v>
      </c>
    </row>
    <row r="207" spans="1:23" ht="15.75" customHeight="1">
      <c r="A207">
        <v>590</v>
      </c>
      <c r="B207" s="1">
        <v>44893</v>
      </c>
      <c r="C207" t="s">
        <v>55</v>
      </c>
      <c r="D207">
        <v>4</v>
      </c>
      <c r="E207" t="s">
        <v>53</v>
      </c>
      <c r="F207">
        <v>11</v>
      </c>
      <c r="G207" t="s">
        <v>29</v>
      </c>
      <c r="H207" t="s">
        <v>36</v>
      </c>
      <c r="I207" t="s">
        <v>31</v>
      </c>
      <c r="J207" t="s">
        <v>32</v>
      </c>
      <c r="K207" s="2">
        <v>51919.1</v>
      </c>
      <c r="L207" s="2">
        <v>36621.83</v>
      </c>
      <c r="M207" s="2">
        <v>15297.27</v>
      </c>
      <c r="N207" s="2">
        <v>2902.68</v>
      </c>
      <c r="O207" s="2">
        <v>12394.59</v>
      </c>
      <c r="P207" s="3">
        <v>23.87</v>
      </c>
      <c r="Q207" s="2">
        <v>4514264.87</v>
      </c>
      <c r="R207" s="2">
        <v>2451927.39</v>
      </c>
      <c r="S207" s="2">
        <v>2062337.48</v>
      </c>
      <c r="T207" s="2">
        <v>23063.03</v>
      </c>
      <c r="U207" s="2">
        <v>29183.18</v>
      </c>
      <c r="V207" s="2">
        <v>-13389.2</v>
      </c>
      <c r="W207" s="2">
        <v>38857.01</v>
      </c>
    </row>
    <row r="208" spans="1:23" ht="15.75" customHeight="1">
      <c r="A208">
        <v>261</v>
      </c>
      <c r="B208" s="1">
        <v>44895</v>
      </c>
      <c r="C208" t="s">
        <v>55</v>
      </c>
      <c r="D208">
        <v>4</v>
      </c>
      <c r="E208" t="s">
        <v>53</v>
      </c>
      <c r="F208">
        <v>11</v>
      </c>
      <c r="G208" t="s">
        <v>40</v>
      </c>
      <c r="H208" t="s">
        <v>26</v>
      </c>
      <c r="I208" t="s">
        <v>27</v>
      </c>
      <c r="J208" t="s">
        <v>32</v>
      </c>
      <c r="K208" s="2">
        <v>122338.97</v>
      </c>
      <c r="L208" s="2">
        <v>66256.179999999993</v>
      </c>
      <c r="M208" s="2">
        <v>56082.79</v>
      </c>
      <c r="N208" s="2">
        <v>6038.91</v>
      </c>
      <c r="O208" s="2">
        <v>50043.88</v>
      </c>
      <c r="P208" s="3">
        <v>40.909999999999997</v>
      </c>
      <c r="Q208" s="2">
        <v>1341114.98</v>
      </c>
      <c r="R208" s="2">
        <v>345898.05</v>
      </c>
      <c r="S208" s="2">
        <v>995216.93</v>
      </c>
      <c r="T208" s="2">
        <v>51298.45</v>
      </c>
      <c r="U208" s="2">
        <v>-50857.23</v>
      </c>
      <c r="V208" s="2">
        <v>1165.55</v>
      </c>
      <c r="W208" s="2">
        <v>1606.77</v>
      </c>
    </row>
    <row r="209" spans="1:23" ht="15.75" customHeight="1">
      <c r="A209">
        <v>443</v>
      </c>
      <c r="B209" s="1">
        <v>44896</v>
      </c>
      <c r="C209" t="s">
        <v>55</v>
      </c>
      <c r="D209">
        <v>4</v>
      </c>
      <c r="E209" t="s">
        <v>54</v>
      </c>
      <c r="F209">
        <v>12</v>
      </c>
      <c r="G209" t="s">
        <v>29</v>
      </c>
      <c r="H209" t="s">
        <v>26</v>
      </c>
      <c r="I209" t="s">
        <v>38</v>
      </c>
      <c r="J209" t="s">
        <v>29</v>
      </c>
      <c r="K209" s="2">
        <v>98052.78</v>
      </c>
      <c r="L209" s="2">
        <v>61266.39</v>
      </c>
      <c r="M209" s="2">
        <v>36786.39</v>
      </c>
      <c r="N209" s="2">
        <v>5308.21</v>
      </c>
      <c r="O209" s="2">
        <v>31478.18</v>
      </c>
      <c r="P209" s="3">
        <v>32.1</v>
      </c>
      <c r="Q209" s="2">
        <v>2827820.67</v>
      </c>
      <c r="R209" s="2">
        <v>1174232.6200000001</v>
      </c>
      <c r="S209" s="2">
        <v>1653588.05</v>
      </c>
      <c r="T209" s="2">
        <v>17425.82</v>
      </c>
      <c r="U209" s="2">
        <v>-28763.35</v>
      </c>
      <c r="V209" s="2">
        <v>-32772.31</v>
      </c>
      <c r="W209" s="2">
        <v>-44109.84</v>
      </c>
    </row>
    <row r="210" spans="1:23" ht="15.75" customHeight="1">
      <c r="A210">
        <v>45</v>
      </c>
      <c r="B210" s="1">
        <v>44896</v>
      </c>
      <c r="C210" t="s">
        <v>55</v>
      </c>
      <c r="D210">
        <v>4</v>
      </c>
      <c r="E210" t="s">
        <v>54</v>
      </c>
      <c r="F210">
        <v>12</v>
      </c>
      <c r="G210" t="s">
        <v>25</v>
      </c>
      <c r="H210" t="s">
        <v>34</v>
      </c>
      <c r="I210" t="s">
        <v>27</v>
      </c>
      <c r="J210" t="s">
        <v>37</v>
      </c>
      <c r="K210" s="2">
        <v>166337.12</v>
      </c>
      <c r="L210" s="2">
        <v>83413.570000000007</v>
      </c>
      <c r="M210" s="2">
        <v>82923.55</v>
      </c>
      <c r="N210" s="2">
        <v>8054.79</v>
      </c>
      <c r="O210" s="2">
        <v>74868.759999999995</v>
      </c>
      <c r="P210" s="3">
        <v>45.01</v>
      </c>
      <c r="Q210" s="2">
        <v>1652069.89</v>
      </c>
      <c r="R210" s="2">
        <v>892841.73</v>
      </c>
      <c r="S210" s="2">
        <v>759228.16</v>
      </c>
      <c r="T210" s="2">
        <v>92305.79</v>
      </c>
      <c r="U210" s="2">
        <v>-59778.73</v>
      </c>
      <c r="V210" s="2">
        <v>51875.05</v>
      </c>
      <c r="W210" s="2">
        <v>84402.11</v>
      </c>
    </row>
    <row r="211" spans="1:23" ht="15.75" customHeight="1">
      <c r="A211">
        <v>93</v>
      </c>
      <c r="B211" s="1">
        <v>44899</v>
      </c>
      <c r="C211" t="s">
        <v>55</v>
      </c>
      <c r="D211">
        <v>4</v>
      </c>
      <c r="E211" t="s">
        <v>54</v>
      </c>
      <c r="F211">
        <v>12</v>
      </c>
      <c r="G211" t="s">
        <v>29</v>
      </c>
      <c r="H211" t="s">
        <v>36</v>
      </c>
      <c r="I211" t="s">
        <v>38</v>
      </c>
      <c r="J211" t="s">
        <v>29</v>
      </c>
      <c r="K211" s="2">
        <v>78632.570000000007</v>
      </c>
      <c r="L211" s="2">
        <v>57955.96</v>
      </c>
      <c r="M211" s="2">
        <v>20676.61</v>
      </c>
      <c r="N211" s="2">
        <v>4962.6000000000004</v>
      </c>
      <c r="O211" s="2">
        <v>15714.01</v>
      </c>
      <c r="P211" s="3">
        <v>19.98</v>
      </c>
      <c r="Q211" s="2">
        <v>825873.22</v>
      </c>
      <c r="R211" s="2">
        <v>382954.84</v>
      </c>
      <c r="S211" s="2">
        <v>442918.38</v>
      </c>
      <c r="T211" s="2">
        <v>56316.69</v>
      </c>
      <c r="U211" s="2">
        <v>-61749.15</v>
      </c>
      <c r="V211" s="2">
        <v>42451.4</v>
      </c>
      <c r="W211" s="2">
        <v>37018.94</v>
      </c>
    </row>
    <row r="212" spans="1:23" ht="15.75" customHeight="1">
      <c r="A212">
        <v>578</v>
      </c>
      <c r="B212" s="1">
        <v>44900</v>
      </c>
      <c r="C212" t="s">
        <v>55</v>
      </c>
      <c r="D212">
        <v>4</v>
      </c>
      <c r="E212" t="s">
        <v>54</v>
      </c>
      <c r="F212">
        <v>12</v>
      </c>
      <c r="G212" t="s">
        <v>29</v>
      </c>
      <c r="H212" t="s">
        <v>34</v>
      </c>
      <c r="I212" t="s">
        <v>31</v>
      </c>
      <c r="J212" t="s">
        <v>39</v>
      </c>
      <c r="K212" s="2">
        <v>127841</v>
      </c>
      <c r="L212" s="2">
        <v>97086.01</v>
      </c>
      <c r="M212" s="2">
        <v>30754.99</v>
      </c>
      <c r="N212" s="2">
        <v>3586.91</v>
      </c>
      <c r="O212" s="2">
        <v>27168.080000000002</v>
      </c>
      <c r="P212" s="3">
        <v>21.25</v>
      </c>
      <c r="Q212" s="2">
        <v>1042168.2</v>
      </c>
      <c r="R212" s="2">
        <v>615520.03</v>
      </c>
      <c r="S212" s="2">
        <v>426648.17</v>
      </c>
      <c r="T212" s="2">
        <v>9697.11</v>
      </c>
      <c r="U212" s="2">
        <v>27476.01</v>
      </c>
      <c r="V212" s="2">
        <v>44253.82</v>
      </c>
      <c r="W212" s="2">
        <v>81426.94</v>
      </c>
    </row>
    <row r="213" spans="1:23" ht="15.75" customHeight="1">
      <c r="A213">
        <v>232</v>
      </c>
      <c r="B213" s="1">
        <v>44906</v>
      </c>
      <c r="C213" t="s">
        <v>55</v>
      </c>
      <c r="D213">
        <v>4</v>
      </c>
      <c r="E213" t="s">
        <v>54</v>
      </c>
      <c r="F213">
        <v>12</v>
      </c>
      <c r="G213" t="s">
        <v>33</v>
      </c>
      <c r="H213" t="s">
        <v>30</v>
      </c>
      <c r="I213" t="s">
        <v>27</v>
      </c>
      <c r="J213" t="s">
        <v>41</v>
      </c>
      <c r="K213" s="2">
        <v>82619.59</v>
      </c>
      <c r="L213" s="2">
        <v>37220.19</v>
      </c>
      <c r="M213" s="2">
        <v>45399.4</v>
      </c>
      <c r="N213" s="2">
        <v>5945.78</v>
      </c>
      <c r="O213" s="2">
        <v>39453.620000000003</v>
      </c>
      <c r="P213" s="3">
        <v>47.75</v>
      </c>
      <c r="Q213" s="2">
        <v>3409064.34</v>
      </c>
      <c r="R213" s="2">
        <v>2180702.7000000002</v>
      </c>
      <c r="S213" s="2">
        <v>1228361.6399999999</v>
      </c>
      <c r="T213" s="2">
        <v>77218.490000000005</v>
      </c>
      <c r="U213" s="2">
        <v>-67640.5</v>
      </c>
      <c r="V213" s="2">
        <v>49856.06</v>
      </c>
      <c r="W213" s="2">
        <v>59434.05</v>
      </c>
    </row>
    <row r="214" spans="1:23" ht="15.75" customHeight="1">
      <c r="A214">
        <v>111</v>
      </c>
      <c r="B214" s="1">
        <v>44916</v>
      </c>
      <c r="C214" t="s">
        <v>55</v>
      </c>
      <c r="D214">
        <v>4</v>
      </c>
      <c r="E214" t="s">
        <v>54</v>
      </c>
      <c r="F214">
        <v>12</v>
      </c>
      <c r="G214" t="s">
        <v>40</v>
      </c>
      <c r="H214" t="s">
        <v>34</v>
      </c>
      <c r="I214" t="s">
        <v>31</v>
      </c>
      <c r="J214" t="s">
        <v>28</v>
      </c>
      <c r="K214" s="2">
        <v>176462</v>
      </c>
      <c r="L214" s="2">
        <v>105975.3</v>
      </c>
      <c r="M214" s="2">
        <v>70486.7</v>
      </c>
      <c r="N214" s="2">
        <v>16072.95</v>
      </c>
      <c r="O214" s="2">
        <v>54413.75</v>
      </c>
      <c r="P214" s="3">
        <v>30.84</v>
      </c>
      <c r="Q214" s="2">
        <v>4020734.68</v>
      </c>
      <c r="R214" s="2">
        <v>1917112.45</v>
      </c>
      <c r="S214" s="2">
        <v>2103622.23</v>
      </c>
      <c r="T214" s="2">
        <v>83489.69</v>
      </c>
      <c r="U214" s="2">
        <v>17851.560000000001</v>
      </c>
      <c r="V214" s="2">
        <v>414.03</v>
      </c>
      <c r="W214" s="2">
        <v>101755.28</v>
      </c>
    </row>
    <row r="215" spans="1:23" ht="15.75" customHeight="1">
      <c r="A215">
        <v>159</v>
      </c>
      <c r="B215" s="1">
        <v>44922</v>
      </c>
      <c r="C215" t="s">
        <v>55</v>
      </c>
      <c r="D215">
        <v>4</v>
      </c>
      <c r="E215" t="s">
        <v>54</v>
      </c>
      <c r="F215">
        <v>12</v>
      </c>
      <c r="G215" t="s">
        <v>33</v>
      </c>
      <c r="H215" t="s">
        <v>36</v>
      </c>
      <c r="I215" t="s">
        <v>31</v>
      </c>
      <c r="J215" t="s">
        <v>39</v>
      </c>
      <c r="K215" s="2">
        <v>155169.35</v>
      </c>
      <c r="L215" s="2">
        <v>91863.08</v>
      </c>
      <c r="M215" s="2">
        <v>63306.27</v>
      </c>
      <c r="N215" s="2">
        <v>11219.03</v>
      </c>
      <c r="O215" s="2">
        <v>52087.24</v>
      </c>
      <c r="P215" s="3">
        <v>33.57</v>
      </c>
      <c r="Q215" s="2">
        <v>3144962.12</v>
      </c>
      <c r="R215" s="2">
        <v>1018308.86</v>
      </c>
      <c r="S215" s="2">
        <v>2126653.2599999998</v>
      </c>
      <c r="T215" s="2">
        <v>51066.080000000002</v>
      </c>
      <c r="U215" s="2">
        <v>-36548.870000000003</v>
      </c>
      <c r="V215" s="2">
        <v>-37380.33</v>
      </c>
      <c r="W215" s="2">
        <v>-22863.119999999999</v>
      </c>
    </row>
    <row r="216" spans="1:23" ht="15.75" customHeight="1">
      <c r="A216">
        <v>502</v>
      </c>
      <c r="B216" s="1">
        <v>44923</v>
      </c>
      <c r="C216" t="s">
        <v>55</v>
      </c>
      <c r="D216">
        <v>4</v>
      </c>
      <c r="E216" t="s">
        <v>54</v>
      </c>
      <c r="F216">
        <v>12</v>
      </c>
      <c r="G216" t="s">
        <v>33</v>
      </c>
      <c r="H216" t="s">
        <v>34</v>
      </c>
      <c r="I216" t="s">
        <v>31</v>
      </c>
      <c r="J216" t="s">
        <v>41</v>
      </c>
      <c r="K216" s="2">
        <v>177505.49</v>
      </c>
      <c r="L216" s="2">
        <v>139626.74</v>
      </c>
      <c r="M216" s="2">
        <v>37878.75</v>
      </c>
      <c r="N216" s="2">
        <v>8515.31</v>
      </c>
      <c r="O216" s="2">
        <v>29363.439999999999</v>
      </c>
      <c r="P216" s="3">
        <v>16.54</v>
      </c>
      <c r="Q216" s="2">
        <v>736584.79</v>
      </c>
      <c r="R216" s="2">
        <v>214910.51</v>
      </c>
      <c r="S216" s="2">
        <v>521674.28</v>
      </c>
      <c r="T216" s="2">
        <v>44882.1</v>
      </c>
      <c r="U216" s="2">
        <v>-16852.080000000002</v>
      </c>
      <c r="V216" s="2">
        <v>5796.32</v>
      </c>
      <c r="W216" s="2">
        <v>33826.339999999997</v>
      </c>
    </row>
    <row r="217" spans="1:23" ht="15.75" customHeight="1">
      <c r="A217">
        <v>276</v>
      </c>
      <c r="B217" s="1">
        <v>44926</v>
      </c>
      <c r="C217" t="s">
        <v>55</v>
      </c>
      <c r="D217">
        <v>4</v>
      </c>
      <c r="E217" t="s">
        <v>54</v>
      </c>
      <c r="F217">
        <v>12</v>
      </c>
      <c r="G217" t="s">
        <v>33</v>
      </c>
      <c r="H217" t="s">
        <v>30</v>
      </c>
      <c r="I217" t="s">
        <v>38</v>
      </c>
      <c r="J217" t="s">
        <v>39</v>
      </c>
      <c r="K217" s="2">
        <v>146690.15</v>
      </c>
      <c r="L217" s="2">
        <v>98513.11</v>
      </c>
      <c r="M217" s="2">
        <v>48177.04</v>
      </c>
      <c r="N217" s="2">
        <v>5501.18</v>
      </c>
      <c r="O217" s="2">
        <v>42675.86</v>
      </c>
      <c r="P217" s="3">
        <v>29.09</v>
      </c>
      <c r="Q217" s="2">
        <v>3156046.97</v>
      </c>
      <c r="R217" s="2">
        <v>1303615.1200000001</v>
      </c>
      <c r="S217" s="2">
        <v>1852431.85</v>
      </c>
      <c r="T217" s="2">
        <v>50237.9</v>
      </c>
      <c r="U217" s="2">
        <v>-67168.87</v>
      </c>
      <c r="V217" s="2">
        <v>-18997.07</v>
      </c>
      <c r="W217" s="2">
        <v>-35928.04</v>
      </c>
    </row>
    <row r="218" spans="1:23" ht="15.75" customHeight="1">
      <c r="A218">
        <v>95</v>
      </c>
      <c r="B218" s="1">
        <v>44926</v>
      </c>
      <c r="C218" t="s">
        <v>55</v>
      </c>
      <c r="D218">
        <v>4</v>
      </c>
      <c r="E218" t="s">
        <v>54</v>
      </c>
      <c r="F218">
        <v>12</v>
      </c>
      <c r="G218" t="s">
        <v>37</v>
      </c>
      <c r="H218" t="s">
        <v>34</v>
      </c>
      <c r="I218" t="s">
        <v>35</v>
      </c>
      <c r="J218" t="s">
        <v>44</v>
      </c>
      <c r="K218" s="2">
        <v>120573.71</v>
      </c>
      <c r="L218" s="2">
        <v>81603</v>
      </c>
      <c r="M218" s="2">
        <v>38970.71</v>
      </c>
      <c r="N218" s="2">
        <v>5097.45</v>
      </c>
      <c r="O218" s="2">
        <v>33873.26</v>
      </c>
      <c r="P218" s="3">
        <v>28.09</v>
      </c>
      <c r="Q218" s="2">
        <v>4708408.17</v>
      </c>
      <c r="R218" s="2">
        <v>2961307.11</v>
      </c>
      <c r="S218" s="2">
        <v>1747101.06</v>
      </c>
      <c r="T218" s="2">
        <v>53897.63</v>
      </c>
      <c r="U218" s="2">
        <v>8342.27</v>
      </c>
      <c r="V218" s="2">
        <v>21225.8</v>
      </c>
      <c r="W218" s="2">
        <v>83465.7</v>
      </c>
    </row>
    <row r="219" spans="1:23" ht="15.75" customHeight="1">
      <c r="A219">
        <v>555</v>
      </c>
      <c r="B219" s="1">
        <v>44937</v>
      </c>
      <c r="C219" t="s">
        <v>56</v>
      </c>
      <c r="D219">
        <v>1</v>
      </c>
      <c r="E219" t="s">
        <v>24</v>
      </c>
      <c r="F219">
        <v>1</v>
      </c>
      <c r="G219" t="s">
        <v>43</v>
      </c>
      <c r="H219" t="s">
        <v>30</v>
      </c>
      <c r="I219" t="s">
        <v>35</v>
      </c>
      <c r="J219" t="s">
        <v>29</v>
      </c>
      <c r="K219" s="2">
        <v>174279.59</v>
      </c>
      <c r="L219" s="2">
        <v>137592.26999999999</v>
      </c>
      <c r="M219" s="2">
        <v>36687.32</v>
      </c>
      <c r="N219" s="2">
        <v>7703.48</v>
      </c>
      <c r="O219" s="2">
        <v>28983.84</v>
      </c>
      <c r="P219" s="3">
        <v>16.63</v>
      </c>
      <c r="Q219" s="2">
        <v>855842.09</v>
      </c>
      <c r="R219" s="2">
        <v>367157.25</v>
      </c>
      <c r="S219" s="2">
        <v>488684.84</v>
      </c>
      <c r="T219" s="2">
        <v>7135.18</v>
      </c>
      <c r="U219" s="2">
        <v>-68407.97</v>
      </c>
      <c r="V219" s="2">
        <v>21618.3</v>
      </c>
      <c r="W219" s="2">
        <v>-39654.49</v>
      </c>
    </row>
    <row r="220" spans="1:23" ht="15.75" customHeight="1">
      <c r="A220">
        <v>183</v>
      </c>
      <c r="B220" s="1">
        <v>44939</v>
      </c>
      <c r="C220" t="s">
        <v>56</v>
      </c>
      <c r="D220">
        <v>1</v>
      </c>
      <c r="E220" t="s">
        <v>24</v>
      </c>
      <c r="F220">
        <v>1</v>
      </c>
      <c r="G220" t="s">
        <v>37</v>
      </c>
      <c r="H220" t="s">
        <v>30</v>
      </c>
      <c r="I220" t="s">
        <v>35</v>
      </c>
      <c r="J220" t="s">
        <v>39</v>
      </c>
      <c r="K220" s="2">
        <v>153036.04999999999</v>
      </c>
      <c r="L220" s="2">
        <v>108463.79</v>
      </c>
      <c r="M220" s="2">
        <v>44572.26</v>
      </c>
      <c r="N220" s="2">
        <v>9926.61</v>
      </c>
      <c r="O220" s="2">
        <v>34645.65</v>
      </c>
      <c r="P220" s="3">
        <v>22.64</v>
      </c>
      <c r="Q220" s="2">
        <v>4918094.12</v>
      </c>
      <c r="R220" s="2">
        <v>2451855.8199999998</v>
      </c>
      <c r="S220" s="2">
        <v>2466238.2999999998</v>
      </c>
      <c r="T220" s="2">
        <v>49380.43</v>
      </c>
      <c r="U220" s="2">
        <v>-7176.19</v>
      </c>
      <c r="V220" s="2">
        <v>13267.59</v>
      </c>
      <c r="W220" s="2">
        <v>55471.83</v>
      </c>
    </row>
    <row r="221" spans="1:23" ht="15.75" customHeight="1">
      <c r="A221">
        <v>37</v>
      </c>
      <c r="B221" s="1">
        <v>44944</v>
      </c>
      <c r="C221" t="s">
        <v>56</v>
      </c>
      <c r="D221">
        <v>1</v>
      </c>
      <c r="E221" t="s">
        <v>24</v>
      </c>
      <c r="F221">
        <v>1</v>
      </c>
      <c r="G221" t="s">
        <v>25</v>
      </c>
      <c r="H221" t="s">
        <v>36</v>
      </c>
      <c r="I221" t="s">
        <v>35</v>
      </c>
      <c r="J221" t="s">
        <v>44</v>
      </c>
      <c r="K221" s="2">
        <v>38619.56</v>
      </c>
      <c r="L221" s="2">
        <v>19362.5</v>
      </c>
      <c r="M221" s="2">
        <v>19257.060000000001</v>
      </c>
      <c r="N221" s="2">
        <v>1549.44</v>
      </c>
      <c r="O221" s="2">
        <v>17707.62</v>
      </c>
      <c r="P221" s="3">
        <v>45.85</v>
      </c>
      <c r="Q221" s="2">
        <v>1025132.29</v>
      </c>
      <c r="R221" s="2">
        <v>450306.25</v>
      </c>
      <c r="S221" s="2">
        <v>574826.04</v>
      </c>
      <c r="T221" s="2">
        <v>36195.769999999997</v>
      </c>
      <c r="U221" s="2">
        <v>9428.94</v>
      </c>
      <c r="V221" s="2">
        <v>-29330.07</v>
      </c>
      <c r="W221" s="2">
        <v>16294.64</v>
      </c>
    </row>
    <row r="222" spans="1:23" ht="15.75" customHeight="1">
      <c r="A222">
        <v>192</v>
      </c>
      <c r="B222" s="1">
        <v>44945</v>
      </c>
      <c r="C222" t="s">
        <v>56</v>
      </c>
      <c r="D222">
        <v>1</v>
      </c>
      <c r="E222" t="s">
        <v>24</v>
      </c>
      <c r="F222">
        <v>1</v>
      </c>
      <c r="G222" t="s">
        <v>33</v>
      </c>
      <c r="H222" t="s">
        <v>30</v>
      </c>
      <c r="I222" t="s">
        <v>27</v>
      </c>
      <c r="J222" t="s">
        <v>28</v>
      </c>
      <c r="K222" s="2">
        <v>86503.51</v>
      </c>
      <c r="L222" s="2">
        <v>40347.269999999997</v>
      </c>
      <c r="M222" s="2">
        <v>46156.24</v>
      </c>
      <c r="N222" s="2">
        <v>5872.45</v>
      </c>
      <c r="O222" s="2">
        <v>40283.79</v>
      </c>
      <c r="P222" s="3">
        <v>46.57</v>
      </c>
      <c r="Q222" s="2">
        <v>4175069.79</v>
      </c>
      <c r="R222" s="2">
        <v>1518994.44</v>
      </c>
      <c r="S222" s="2">
        <v>2656075.35</v>
      </c>
      <c r="T222" s="2">
        <v>75740.320000000007</v>
      </c>
      <c r="U222" s="2">
        <v>-16840.05</v>
      </c>
      <c r="V222" s="2">
        <v>47986.27</v>
      </c>
      <c r="W222" s="2">
        <v>106886.54</v>
      </c>
    </row>
    <row r="223" spans="1:23" ht="15.75" customHeight="1">
      <c r="A223">
        <v>398</v>
      </c>
      <c r="B223" s="1">
        <v>44946</v>
      </c>
      <c r="C223" t="s">
        <v>56</v>
      </c>
      <c r="D223">
        <v>1</v>
      </c>
      <c r="E223" t="s">
        <v>24</v>
      </c>
      <c r="F223">
        <v>1</v>
      </c>
      <c r="G223" t="s">
        <v>29</v>
      </c>
      <c r="H223" t="s">
        <v>36</v>
      </c>
      <c r="I223" t="s">
        <v>31</v>
      </c>
      <c r="J223" t="s">
        <v>37</v>
      </c>
      <c r="K223" s="2">
        <v>175009.42</v>
      </c>
      <c r="L223" s="2">
        <v>114359.86</v>
      </c>
      <c r="M223" s="2">
        <v>60649.56</v>
      </c>
      <c r="N223" s="2">
        <v>14782.54</v>
      </c>
      <c r="O223" s="2">
        <v>45867.02</v>
      </c>
      <c r="P223" s="3">
        <v>26.21</v>
      </c>
      <c r="Q223" s="2">
        <v>1016391.2</v>
      </c>
      <c r="R223" s="2">
        <v>453476.56</v>
      </c>
      <c r="S223" s="2">
        <v>562914.64</v>
      </c>
      <c r="T223" s="2">
        <v>29427.35</v>
      </c>
      <c r="U223" s="2">
        <v>-64902.51</v>
      </c>
      <c r="V223" s="2">
        <v>21752.91</v>
      </c>
      <c r="W223" s="2">
        <v>-13722.25</v>
      </c>
    </row>
    <row r="224" spans="1:23" ht="15.75" customHeight="1">
      <c r="A224">
        <v>295</v>
      </c>
      <c r="B224" s="1">
        <v>44948</v>
      </c>
      <c r="C224" t="s">
        <v>56</v>
      </c>
      <c r="D224">
        <v>1</v>
      </c>
      <c r="E224" t="s">
        <v>24</v>
      </c>
      <c r="F224">
        <v>1</v>
      </c>
      <c r="G224" t="s">
        <v>33</v>
      </c>
      <c r="H224" t="s">
        <v>30</v>
      </c>
      <c r="I224" t="s">
        <v>38</v>
      </c>
      <c r="J224" t="s">
        <v>39</v>
      </c>
      <c r="K224" s="2">
        <v>111478.75</v>
      </c>
      <c r="L224" s="2">
        <v>74281.320000000007</v>
      </c>
      <c r="M224" s="2">
        <v>37197.43</v>
      </c>
      <c r="N224" s="2">
        <v>3820.94</v>
      </c>
      <c r="O224" s="2">
        <v>33376.49</v>
      </c>
      <c r="P224" s="3">
        <v>29.94</v>
      </c>
      <c r="Q224" s="2">
        <v>2497366.35</v>
      </c>
      <c r="R224" s="2">
        <v>1074643</v>
      </c>
      <c r="S224" s="2">
        <v>1422723.35</v>
      </c>
      <c r="T224" s="2">
        <v>80056.320000000007</v>
      </c>
      <c r="U224" s="2">
        <v>-26891.31</v>
      </c>
      <c r="V224" s="2">
        <v>14934.26</v>
      </c>
      <c r="W224" s="2">
        <v>68099.27</v>
      </c>
    </row>
    <row r="225" spans="1:23" ht="15.75" customHeight="1">
      <c r="A225">
        <v>479</v>
      </c>
      <c r="B225" s="1">
        <v>44955</v>
      </c>
      <c r="C225" t="s">
        <v>56</v>
      </c>
      <c r="D225">
        <v>1</v>
      </c>
      <c r="E225" t="s">
        <v>24</v>
      </c>
      <c r="F225">
        <v>1</v>
      </c>
      <c r="G225" t="s">
        <v>43</v>
      </c>
      <c r="H225" t="s">
        <v>30</v>
      </c>
      <c r="I225" t="s">
        <v>35</v>
      </c>
      <c r="J225" t="s">
        <v>37</v>
      </c>
      <c r="K225" s="2">
        <v>84837.9</v>
      </c>
      <c r="L225" s="2">
        <v>68521.98</v>
      </c>
      <c r="M225" s="2">
        <v>16315.92</v>
      </c>
      <c r="N225" s="2">
        <v>3239.01</v>
      </c>
      <c r="O225" s="2">
        <v>13076.91</v>
      </c>
      <c r="P225" s="3">
        <v>15.41</v>
      </c>
      <c r="Q225" s="2">
        <v>874503.8</v>
      </c>
      <c r="R225" s="2">
        <v>520490.54</v>
      </c>
      <c r="S225" s="2">
        <v>354013.26</v>
      </c>
      <c r="T225" s="2">
        <v>21521.71</v>
      </c>
      <c r="U225" s="2">
        <v>-63124.61</v>
      </c>
      <c r="V225" s="2">
        <v>14971.73</v>
      </c>
      <c r="W225" s="2">
        <v>-26631.17</v>
      </c>
    </row>
    <row r="226" spans="1:23" ht="15.75" customHeight="1">
      <c r="A226">
        <v>118</v>
      </c>
      <c r="B226" s="1">
        <v>44960</v>
      </c>
      <c r="C226" t="s">
        <v>56</v>
      </c>
      <c r="D226">
        <v>1</v>
      </c>
      <c r="E226" t="s">
        <v>42</v>
      </c>
      <c r="F226">
        <v>2</v>
      </c>
      <c r="G226" t="s">
        <v>43</v>
      </c>
      <c r="H226" t="s">
        <v>34</v>
      </c>
      <c r="I226" t="s">
        <v>27</v>
      </c>
      <c r="J226" t="s">
        <v>29</v>
      </c>
      <c r="K226" s="2">
        <v>53610.7</v>
      </c>
      <c r="L226" s="2">
        <v>29981.94</v>
      </c>
      <c r="M226" s="2">
        <v>23628.76</v>
      </c>
      <c r="N226" s="2">
        <v>5077.33</v>
      </c>
      <c r="O226" s="2">
        <v>18551.43</v>
      </c>
      <c r="P226" s="3">
        <v>34.6</v>
      </c>
      <c r="Q226" s="2">
        <v>1333528.01</v>
      </c>
      <c r="R226" s="2">
        <v>822921.46</v>
      </c>
      <c r="S226" s="2">
        <v>510606.55</v>
      </c>
      <c r="T226" s="2">
        <v>22513.62</v>
      </c>
      <c r="U226" s="2">
        <v>-61296.1</v>
      </c>
      <c r="V226" s="2">
        <v>41574.86</v>
      </c>
      <c r="W226" s="2">
        <v>2792.38</v>
      </c>
    </row>
    <row r="227" spans="1:23" ht="15.75" customHeight="1">
      <c r="A227">
        <v>306</v>
      </c>
      <c r="B227" s="1">
        <v>44960</v>
      </c>
      <c r="C227" t="s">
        <v>56</v>
      </c>
      <c r="D227">
        <v>1</v>
      </c>
      <c r="E227" t="s">
        <v>42</v>
      </c>
      <c r="F227">
        <v>2</v>
      </c>
      <c r="G227" t="s">
        <v>43</v>
      </c>
      <c r="H227" t="s">
        <v>36</v>
      </c>
      <c r="I227" t="s">
        <v>31</v>
      </c>
      <c r="J227" t="s">
        <v>28</v>
      </c>
      <c r="K227" s="2">
        <v>95201.22</v>
      </c>
      <c r="L227" s="2">
        <v>76259.55</v>
      </c>
      <c r="M227" s="2">
        <v>18941.669999999998</v>
      </c>
      <c r="N227" s="2">
        <v>1710.49</v>
      </c>
      <c r="O227" s="2">
        <v>17231.18</v>
      </c>
      <c r="P227" s="3">
        <v>18.100000000000001</v>
      </c>
      <c r="Q227" s="2">
        <v>3584279.05</v>
      </c>
      <c r="R227" s="2">
        <v>931864.13</v>
      </c>
      <c r="S227" s="2">
        <v>2652414.92</v>
      </c>
      <c r="T227" s="2">
        <v>945.91</v>
      </c>
      <c r="U227" s="2">
        <v>-24642.1</v>
      </c>
      <c r="V227" s="2">
        <v>5487.24</v>
      </c>
      <c r="W227" s="2">
        <v>-18208.95</v>
      </c>
    </row>
    <row r="228" spans="1:23" ht="15.75" customHeight="1">
      <c r="A228">
        <v>170</v>
      </c>
      <c r="B228" s="1">
        <v>44963</v>
      </c>
      <c r="C228" t="s">
        <v>56</v>
      </c>
      <c r="D228">
        <v>1</v>
      </c>
      <c r="E228" t="s">
        <v>42</v>
      </c>
      <c r="F228">
        <v>2</v>
      </c>
      <c r="G228" t="s">
        <v>43</v>
      </c>
      <c r="H228" t="s">
        <v>26</v>
      </c>
      <c r="I228" t="s">
        <v>31</v>
      </c>
      <c r="J228" t="s">
        <v>44</v>
      </c>
      <c r="K228" s="2">
        <v>159939.66</v>
      </c>
      <c r="L228" s="2">
        <v>86104.25</v>
      </c>
      <c r="M228" s="2">
        <v>73835.41</v>
      </c>
      <c r="N228" s="2">
        <v>11570.8</v>
      </c>
      <c r="O228" s="2">
        <v>62264.61</v>
      </c>
      <c r="P228" s="3">
        <v>38.93</v>
      </c>
      <c r="Q228" s="2">
        <v>4932453.45</v>
      </c>
      <c r="R228" s="2">
        <v>2756279.6</v>
      </c>
      <c r="S228" s="2">
        <v>2176173.85</v>
      </c>
      <c r="T228" s="2">
        <v>34438</v>
      </c>
      <c r="U228" s="2">
        <v>-63479.54</v>
      </c>
      <c r="V228" s="2">
        <v>6393.14</v>
      </c>
      <c r="W228" s="2">
        <v>-22648.400000000001</v>
      </c>
    </row>
    <row r="229" spans="1:23" ht="15.75" customHeight="1">
      <c r="A229">
        <v>287</v>
      </c>
      <c r="B229" s="1">
        <v>44963</v>
      </c>
      <c r="C229" t="s">
        <v>56</v>
      </c>
      <c r="D229">
        <v>1</v>
      </c>
      <c r="E229" t="s">
        <v>42</v>
      </c>
      <c r="F229">
        <v>2</v>
      </c>
      <c r="G229" t="s">
        <v>40</v>
      </c>
      <c r="H229" t="s">
        <v>26</v>
      </c>
      <c r="I229" t="s">
        <v>38</v>
      </c>
      <c r="J229" t="s">
        <v>28</v>
      </c>
      <c r="K229" s="2">
        <v>138354.06</v>
      </c>
      <c r="L229" s="2">
        <v>97953.55</v>
      </c>
      <c r="M229" s="2">
        <v>40400.51</v>
      </c>
      <c r="N229" s="2">
        <v>8401.23</v>
      </c>
      <c r="O229" s="2">
        <v>31999.279999999999</v>
      </c>
      <c r="P229" s="3">
        <v>23.13</v>
      </c>
      <c r="Q229" s="2">
        <v>2592748.62</v>
      </c>
      <c r="R229" s="2">
        <v>1554789.09</v>
      </c>
      <c r="S229" s="2">
        <v>1037959.53</v>
      </c>
      <c r="T229" s="2">
        <v>18274.2</v>
      </c>
      <c r="U229" s="2">
        <v>-57261.36</v>
      </c>
      <c r="V229" s="2">
        <v>-11449.12</v>
      </c>
      <c r="W229" s="2">
        <v>-50436.28</v>
      </c>
    </row>
    <row r="230" spans="1:23" ht="15.75" customHeight="1">
      <c r="A230">
        <v>23</v>
      </c>
      <c r="B230" s="1">
        <v>44966</v>
      </c>
      <c r="C230" t="s">
        <v>56</v>
      </c>
      <c r="D230">
        <v>1</v>
      </c>
      <c r="E230" t="s">
        <v>42</v>
      </c>
      <c r="F230">
        <v>2</v>
      </c>
      <c r="G230" t="s">
        <v>33</v>
      </c>
      <c r="H230" t="s">
        <v>36</v>
      </c>
      <c r="I230" t="s">
        <v>27</v>
      </c>
      <c r="J230" t="s">
        <v>37</v>
      </c>
      <c r="K230" s="2">
        <v>164988.41</v>
      </c>
      <c r="L230" s="2">
        <v>111926.09</v>
      </c>
      <c r="M230" s="2">
        <v>53062.32</v>
      </c>
      <c r="N230" s="2">
        <v>13089.34</v>
      </c>
      <c r="O230" s="2">
        <v>39972.980000000003</v>
      </c>
      <c r="P230" s="3">
        <v>24.23</v>
      </c>
      <c r="Q230" s="2">
        <v>3236395.32</v>
      </c>
      <c r="R230" s="2">
        <v>1633271.91</v>
      </c>
      <c r="S230" s="2">
        <v>1603123.41</v>
      </c>
      <c r="T230" s="2">
        <v>54358.23</v>
      </c>
      <c r="U230" s="2">
        <v>-60899.79</v>
      </c>
      <c r="V230" s="2">
        <v>32639.7</v>
      </c>
      <c r="W230" s="2">
        <v>26098.14</v>
      </c>
    </row>
    <row r="231" spans="1:23" ht="15.75" customHeight="1">
      <c r="A231">
        <v>532</v>
      </c>
      <c r="B231" s="1">
        <v>44970</v>
      </c>
      <c r="C231" t="s">
        <v>56</v>
      </c>
      <c r="D231">
        <v>1</v>
      </c>
      <c r="E231" t="s">
        <v>42</v>
      </c>
      <c r="F231">
        <v>2</v>
      </c>
      <c r="G231" t="s">
        <v>25</v>
      </c>
      <c r="H231" t="s">
        <v>30</v>
      </c>
      <c r="I231" t="s">
        <v>27</v>
      </c>
      <c r="J231" t="s">
        <v>32</v>
      </c>
      <c r="K231" s="2">
        <v>149851.89000000001</v>
      </c>
      <c r="L231" s="2">
        <v>71691.3</v>
      </c>
      <c r="M231" s="2">
        <v>78160.59</v>
      </c>
      <c r="N231" s="2">
        <v>11749.88</v>
      </c>
      <c r="O231" s="2">
        <v>66410.710000000006</v>
      </c>
      <c r="P231" s="3">
        <v>44.32</v>
      </c>
      <c r="Q231" s="2">
        <v>3554993.02</v>
      </c>
      <c r="R231" s="2">
        <v>1225473.76</v>
      </c>
      <c r="S231" s="2">
        <v>2329519.2599999998</v>
      </c>
      <c r="T231" s="2">
        <v>43127.72</v>
      </c>
      <c r="U231" s="2">
        <v>7002.12</v>
      </c>
      <c r="V231" s="2">
        <v>23017.51</v>
      </c>
      <c r="W231" s="2">
        <v>73147.350000000006</v>
      </c>
    </row>
    <row r="232" spans="1:23" ht="15.75" customHeight="1">
      <c r="A232">
        <v>80</v>
      </c>
      <c r="B232" s="1">
        <v>44972</v>
      </c>
      <c r="C232" t="s">
        <v>56</v>
      </c>
      <c r="D232">
        <v>1</v>
      </c>
      <c r="E232" t="s">
        <v>42</v>
      </c>
      <c r="F232">
        <v>2</v>
      </c>
      <c r="G232" t="s">
        <v>25</v>
      </c>
      <c r="H232" t="s">
        <v>30</v>
      </c>
      <c r="I232" t="s">
        <v>27</v>
      </c>
      <c r="J232" t="s">
        <v>29</v>
      </c>
      <c r="K232" s="2">
        <v>156840.17000000001</v>
      </c>
      <c r="L232" s="2">
        <v>120907.91</v>
      </c>
      <c r="M232" s="2">
        <v>35932.26</v>
      </c>
      <c r="N232" s="2">
        <v>7201.6</v>
      </c>
      <c r="O232" s="2">
        <v>28730.66</v>
      </c>
      <c r="P232" s="3">
        <v>18.32</v>
      </c>
      <c r="Q232" s="2">
        <v>4266559.9800000004</v>
      </c>
      <c r="R232" s="2">
        <v>2256961.5299999998</v>
      </c>
      <c r="S232" s="2">
        <v>2009598.45</v>
      </c>
      <c r="T232" s="2">
        <v>53141.919999999998</v>
      </c>
      <c r="U232" s="2">
        <v>-8138.86</v>
      </c>
      <c r="V232" s="2">
        <v>35271.660000000003</v>
      </c>
      <c r="W232" s="2">
        <v>80274.720000000001</v>
      </c>
    </row>
    <row r="233" spans="1:23" ht="15.75" customHeight="1">
      <c r="A233">
        <v>69</v>
      </c>
      <c r="B233" s="1">
        <v>44973</v>
      </c>
      <c r="C233" t="s">
        <v>56</v>
      </c>
      <c r="D233">
        <v>1</v>
      </c>
      <c r="E233" t="s">
        <v>42</v>
      </c>
      <c r="F233">
        <v>2</v>
      </c>
      <c r="G233" t="s">
        <v>29</v>
      </c>
      <c r="H233" t="s">
        <v>34</v>
      </c>
      <c r="I233" t="s">
        <v>31</v>
      </c>
      <c r="J233" t="s">
        <v>29</v>
      </c>
      <c r="K233" s="2">
        <v>137338.85</v>
      </c>
      <c r="L233" s="2">
        <v>65123.59</v>
      </c>
      <c r="M233" s="2">
        <v>72215.259999999995</v>
      </c>
      <c r="N233" s="2">
        <v>9647.91</v>
      </c>
      <c r="O233" s="2">
        <v>62567.35</v>
      </c>
      <c r="P233" s="3">
        <v>45.56</v>
      </c>
      <c r="Q233" s="2">
        <v>2927710.82</v>
      </c>
      <c r="R233" s="2">
        <v>1657931.21</v>
      </c>
      <c r="S233" s="2">
        <v>1269779.6100000001</v>
      </c>
      <c r="T233" s="2">
        <v>58067.55</v>
      </c>
      <c r="U233" s="2">
        <v>-7410.86</v>
      </c>
      <c r="V233" s="2">
        <v>48597.77</v>
      </c>
      <c r="W233" s="2">
        <v>99254.46</v>
      </c>
    </row>
    <row r="234" spans="1:23" ht="15.75" customHeight="1">
      <c r="A234">
        <v>148</v>
      </c>
      <c r="B234" s="1">
        <v>44976</v>
      </c>
      <c r="C234" t="s">
        <v>56</v>
      </c>
      <c r="D234">
        <v>1</v>
      </c>
      <c r="E234" t="s">
        <v>42</v>
      </c>
      <c r="F234">
        <v>2</v>
      </c>
      <c r="G234" t="s">
        <v>40</v>
      </c>
      <c r="H234" t="s">
        <v>34</v>
      </c>
      <c r="I234" t="s">
        <v>31</v>
      </c>
      <c r="J234" t="s">
        <v>37</v>
      </c>
      <c r="K234" s="2">
        <v>69315.55</v>
      </c>
      <c r="L234" s="2">
        <v>52118.39</v>
      </c>
      <c r="M234" s="2">
        <v>17197.16</v>
      </c>
      <c r="N234" s="2">
        <v>3894</v>
      </c>
      <c r="O234" s="2">
        <v>13303.16</v>
      </c>
      <c r="P234" s="3">
        <v>19.190000000000001</v>
      </c>
      <c r="Q234" s="2">
        <v>4309314.5199999996</v>
      </c>
      <c r="R234" s="2">
        <v>2661306.0099999998</v>
      </c>
      <c r="S234" s="2">
        <v>1648008.51</v>
      </c>
      <c r="T234" s="2">
        <v>3482.44</v>
      </c>
      <c r="U234" s="2">
        <v>5504.19</v>
      </c>
      <c r="V234" s="2">
        <v>6053.95</v>
      </c>
      <c r="W234" s="2">
        <v>15040.58</v>
      </c>
    </row>
    <row r="235" spans="1:23" ht="15.75" customHeight="1">
      <c r="A235">
        <v>471</v>
      </c>
      <c r="B235" s="1">
        <v>44981</v>
      </c>
      <c r="C235" t="s">
        <v>56</v>
      </c>
      <c r="D235">
        <v>1</v>
      </c>
      <c r="E235" t="s">
        <v>42</v>
      </c>
      <c r="F235">
        <v>2</v>
      </c>
      <c r="G235" t="s">
        <v>43</v>
      </c>
      <c r="H235" t="s">
        <v>26</v>
      </c>
      <c r="I235" t="s">
        <v>35</v>
      </c>
      <c r="J235" t="s">
        <v>41</v>
      </c>
      <c r="K235" s="2">
        <v>144204.48000000001</v>
      </c>
      <c r="L235" s="2">
        <v>87595.15</v>
      </c>
      <c r="M235" s="2">
        <v>56609.33</v>
      </c>
      <c r="N235" s="2">
        <v>9970.08</v>
      </c>
      <c r="O235" s="2">
        <v>46639.25</v>
      </c>
      <c r="P235" s="3">
        <v>32.340000000000003</v>
      </c>
      <c r="Q235" s="2">
        <v>594541.21</v>
      </c>
      <c r="R235" s="2">
        <v>156823.64000000001</v>
      </c>
      <c r="S235" s="2">
        <v>437717.57</v>
      </c>
      <c r="T235" s="2">
        <v>52305.29</v>
      </c>
      <c r="U235" s="2">
        <v>11665.52</v>
      </c>
      <c r="V235" s="2">
        <v>48523.89</v>
      </c>
      <c r="W235" s="2">
        <v>112494.7</v>
      </c>
    </row>
    <row r="236" spans="1:23" ht="15.75" customHeight="1">
      <c r="A236">
        <v>581</v>
      </c>
      <c r="B236" s="1">
        <v>44986</v>
      </c>
      <c r="C236" t="s">
        <v>56</v>
      </c>
      <c r="D236">
        <v>1</v>
      </c>
      <c r="E236" t="s">
        <v>45</v>
      </c>
      <c r="F236">
        <v>3</v>
      </c>
      <c r="G236" t="s">
        <v>40</v>
      </c>
      <c r="H236" t="s">
        <v>30</v>
      </c>
      <c r="I236" t="s">
        <v>31</v>
      </c>
      <c r="J236" t="s">
        <v>29</v>
      </c>
      <c r="K236" s="2">
        <v>38197.26</v>
      </c>
      <c r="L236" s="2">
        <v>21470.29</v>
      </c>
      <c r="M236" s="2">
        <v>16726.97</v>
      </c>
      <c r="N236" s="2">
        <v>3455.48</v>
      </c>
      <c r="O236" s="2">
        <v>13271.49</v>
      </c>
      <c r="P236" s="3">
        <v>34.74</v>
      </c>
      <c r="Q236" s="2">
        <v>4839944.8099999996</v>
      </c>
      <c r="R236" s="2">
        <v>2599767.7999999998</v>
      </c>
      <c r="S236" s="2">
        <v>2240177.0099999998</v>
      </c>
      <c r="T236" s="2">
        <v>62681.53</v>
      </c>
      <c r="U236" s="2">
        <v>-166.2</v>
      </c>
      <c r="V236" s="2">
        <v>-10620.55</v>
      </c>
      <c r="W236" s="2">
        <v>51894.78</v>
      </c>
    </row>
    <row r="237" spans="1:23" ht="15.75" customHeight="1">
      <c r="A237">
        <v>558</v>
      </c>
      <c r="B237" s="1">
        <v>44987</v>
      </c>
      <c r="C237" t="s">
        <v>56</v>
      </c>
      <c r="D237">
        <v>1</v>
      </c>
      <c r="E237" t="s">
        <v>45</v>
      </c>
      <c r="F237">
        <v>3</v>
      </c>
      <c r="G237" t="s">
        <v>33</v>
      </c>
      <c r="H237" t="s">
        <v>34</v>
      </c>
      <c r="I237" t="s">
        <v>27</v>
      </c>
      <c r="J237" t="s">
        <v>39</v>
      </c>
      <c r="K237" s="2">
        <v>86099.53</v>
      </c>
      <c r="L237" s="2">
        <v>65765.850000000006</v>
      </c>
      <c r="M237" s="2">
        <v>20333.68</v>
      </c>
      <c r="N237" s="2">
        <v>3330.8</v>
      </c>
      <c r="O237" s="2">
        <v>17002.88</v>
      </c>
      <c r="P237" s="3">
        <v>19.75</v>
      </c>
      <c r="Q237" s="2">
        <v>2623561.2999999998</v>
      </c>
      <c r="R237" s="2">
        <v>1170436.27</v>
      </c>
      <c r="S237" s="2">
        <v>1453125.03</v>
      </c>
      <c r="T237" s="2">
        <v>54745.68</v>
      </c>
      <c r="U237" s="2">
        <v>13194.15</v>
      </c>
      <c r="V237" s="2">
        <v>352</v>
      </c>
      <c r="W237" s="2">
        <v>68291.83</v>
      </c>
    </row>
    <row r="238" spans="1:23" ht="15.75" customHeight="1">
      <c r="A238">
        <v>116</v>
      </c>
      <c r="B238" s="1">
        <v>44988</v>
      </c>
      <c r="C238" t="s">
        <v>56</v>
      </c>
      <c r="D238">
        <v>1</v>
      </c>
      <c r="E238" t="s">
        <v>45</v>
      </c>
      <c r="F238">
        <v>3</v>
      </c>
      <c r="G238" t="s">
        <v>40</v>
      </c>
      <c r="H238" t="s">
        <v>30</v>
      </c>
      <c r="I238" t="s">
        <v>27</v>
      </c>
      <c r="J238" t="s">
        <v>37</v>
      </c>
      <c r="K238" s="2">
        <v>126477.43</v>
      </c>
      <c r="L238" s="2">
        <v>74701.06</v>
      </c>
      <c r="M238" s="2">
        <v>51776.37</v>
      </c>
      <c r="N238" s="2">
        <v>5877.46</v>
      </c>
      <c r="O238" s="2">
        <v>45898.91</v>
      </c>
      <c r="P238" s="3">
        <v>36.29</v>
      </c>
      <c r="Q238" s="2">
        <v>2656324.5299999998</v>
      </c>
      <c r="R238" s="2">
        <v>870805.15</v>
      </c>
      <c r="S238" s="2">
        <v>1785519.38</v>
      </c>
      <c r="T238" s="2">
        <v>29205.439999999999</v>
      </c>
      <c r="U238" s="2">
        <v>-8264.82</v>
      </c>
      <c r="V238" s="2">
        <v>12308.47</v>
      </c>
      <c r="W238" s="2">
        <v>33249.089999999997</v>
      </c>
    </row>
    <row r="239" spans="1:23" ht="15.75" customHeight="1">
      <c r="A239">
        <v>173</v>
      </c>
      <c r="B239" s="1">
        <v>44991</v>
      </c>
      <c r="C239" t="s">
        <v>56</v>
      </c>
      <c r="D239">
        <v>1</v>
      </c>
      <c r="E239" t="s">
        <v>45</v>
      </c>
      <c r="F239">
        <v>3</v>
      </c>
      <c r="G239" t="s">
        <v>37</v>
      </c>
      <c r="H239" t="s">
        <v>26</v>
      </c>
      <c r="I239" t="s">
        <v>35</v>
      </c>
      <c r="J239" t="s">
        <v>39</v>
      </c>
      <c r="K239" s="2">
        <v>81280.61</v>
      </c>
      <c r="L239" s="2">
        <v>63558.1</v>
      </c>
      <c r="M239" s="2">
        <v>17722.509999999998</v>
      </c>
      <c r="N239" s="2">
        <v>1926.53</v>
      </c>
      <c r="O239" s="2">
        <v>15795.98</v>
      </c>
      <c r="P239" s="3">
        <v>19.43</v>
      </c>
      <c r="Q239" s="2">
        <v>2781729.97</v>
      </c>
      <c r="R239" s="2">
        <v>1360947.62</v>
      </c>
      <c r="S239" s="2">
        <v>1420782.35</v>
      </c>
      <c r="T239" s="2">
        <v>-11533.33</v>
      </c>
      <c r="U239" s="2">
        <v>-33630.69</v>
      </c>
      <c r="V239" s="2">
        <v>33263.519999999997</v>
      </c>
      <c r="W239" s="2">
        <v>-11900.5</v>
      </c>
    </row>
    <row r="240" spans="1:23" ht="15.75" customHeight="1">
      <c r="A240">
        <v>209</v>
      </c>
      <c r="B240" s="1">
        <v>44992</v>
      </c>
      <c r="C240" t="s">
        <v>56</v>
      </c>
      <c r="D240">
        <v>1</v>
      </c>
      <c r="E240" t="s">
        <v>45</v>
      </c>
      <c r="F240">
        <v>3</v>
      </c>
      <c r="G240" t="s">
        <v>40</v>
      </c>
      <c r="H240" t="s">
        <v>30</v>
      </c>
      <c r="I240" t="s">
        <v>38</v>
      </c>
      <c r="J240" t="s">
        <v>29</v>
      </c>
      <c r="K240" s="2">
        <v>148102.65</v>
      </c>
      <c r="L240" s="2">
        <v>81757.7</v>
      </c>
      <c r="M240" s="2">
        <v>66344.95</v>
      </c>
      <c r="N240" s="2">
        <v>15199.99</v>
      </c>
      <c r="O240" s="2">
        <v>51144.959999999999</v>
      </c>
      <c r="P240" s="3">
        <v>34.53</v>
      </c>
      <c r="Q240" s="2">
        <v>4748189.42</v>
      </c>
      <c r="R240" s="2">
        <v>1469651.93</v>
      </c>
      <c r="S240" s="2">
        <v>3278537.49</v>
      </c>
      <c r="T240" s="2">
        <v>58159.01</v>
      </c>
      <c r="U240" s="2">
        <v>28098.74</v>
      </c>
      <c r="V240" s="2">
        <v>8340.74</v>
      </c>
      <c r="W240" s="2">
        <v>94598.49</v>
      </c>
    </row>
    <row r="241" spans="1:23" ht="15.75" customHeight="1">
      <c r="A241">
        <v>410</v>
      </c>
      <c r="B241" s="1">
        <v>44994</v>
      </c>
      <c r="C241" t="s">
        <v>56</v>
      </c>
      <c r="D241">
        <v>1</v>
      </c>
      <c r="E241" t="s">
        <v>45</v>
      </c>
      <c r="F241">
        <v>3</v>
      </c>
      <c r="G241" t="s">
        <v>33</v>
      </c>
      <c r="H241" t="s">
        <v>34</v>
      </c>
      <c r="I241" t="s">
        <v>27</v>
      </c>
      <c r="J241" t="s">
        <v>37</v>
      </c>
      <c r="K241" s="2">
        <v>80858.2</v>
      </c>
      <c r="L241" s="2">
        <v>54481.49</v>
      </c>
      <c r="M241" s="2">
        <v>26376.71</v>
      </c>
      <c r="N241" s="2">
        <v>3847.48</v>
      </c>
      <c r="O241" s="2">
        <v>22529.23</v>
      </c>
      <c r="P241" s="3">
        <v>27.86</v>
      </c>
      <c r="Q241" s="2">
        <v>4385659.53</v>
      </c>
      <c r="R241" s="2">
        <v>1638135.54</v>
      </c>
      <c r="S241" s="2">
        <v>2747523.99</v>
      </c>
      <c r="T241" s="2">
        <v>16012.01</v>
      </c>
      <c r="U241" s="2">
        <v>-43400.23</v>
      </c>
      <c r="V241" s="2">
        <v>-6721.91</v>
      </c>
      <c r="W241" s="2">
        <v>-34110.129999999997</v>
      </c>
    </row>
    <row r="242" spans="1:23" ht="15.75" customHeight="1">
      <c r="A242">
        <v>381</v>
      </c>
      <c r="B242" s="1">
        <v>44997</v>
      </c>
      <c r="C242" t="s">
        <v>56</v>
      </c>
      <c r="D242">
        <v>1</v>
      </c>
      <c r="E242" t="s">
        <v>45</v>
      </c>
      <c r="F242">
        <v>3</v>
      </c>
      <c r="G242" t="s">
        <v>37</v>
      </c>
      <c r="H242" t="s">
        <v>36</v>
      </c>
      <c r="I242" t="s">
        <v>35</v>
      </c>
      <c r="J242" t="s">
        <v>32</v>
      </c>
      <c r="K242" s="2">
        <v>147452.29999999999</v>
      </c>
      <c r="L242" s="2">
        <v>83701.820000000007</v>
      </c>
      <c r="M242" s="2">
        <v>63750.48</v>
      </c>
      <c r="N242" s="2">
        <v>11382.92</v>
      </c>
      <c r="O242" s="2">
        <v>52367.56</v>
      </c>
      <c r="P242" s="3">
        <v>35.51</v>
      </c>
      <c r="Q242" s="2">
        <v>2055312.47</v>
      </c>
      <c r="R242" s="2">
        <v>1184492.53</v>
      </c>
      <c r="S242" s="2">
        <v>870819.94</v>
      </c>
      <c r="T242" s="2">
        <v>59705.81</v>
      </c>
      <c r="U242" s="2">
        <v>-62327.72</v>
      </c>
      <c r="V242" s="2">
        <v>-23394.75</v>
      </c>
      <c r="W242" s="2">
        <v>-26016.66</v>
      </c>
    </row>
    <row r="243" spans="1:23" ht="15.75" customHeight="1">
      <c r="A243">
        <v>567</v>
      </c>
      <c r="B243" s="1">
        <v>44998</v>
      </c>
      <c r="C243" t="s">
        <v>56</v>
      </c>
      <c r="D243">
        <v>1</v>
      </c>
      <c r="E243" t="s">
        <v>45</v>
      </c>
      <c r="F243">
        <v>3</v>
      </c>
      <c r="G243" t="s">
        <v>40</v>
      </c>
      <c r="H243" t="s">
        <v>34</v>
      </c>
      <c r="I243" t="s">
        <v>35</v>
      </c>
      <c r="J243" t="s">
        <v>28</v>
      </c>
      <c r="K243" s="2">
        <v>51058.31</v>
      </c>
      <c r="L243" s="2">
        <v>32653.65</v>
      </c>
      <c r="M243" s="2">
        <v>18404.66</v>
      </c>
      <c r="N243" s="2">
        <v>2997.27</v>
      </c>
      <c r="O243" s="2">
        <v>15407.39</v>
      </c>
      <c r="P243" s="3">
        <v>30.18</v>
      </c>
      <c r="Q243" s="2">
        <v>3312911.99</v>
      </c>
      <c r="R243" s="2">
        <v>2082081.56</v>
      </c>
      <c r="S243" s="2">
        <v>1230830.43</v>
      </c>
      <c r="T243" s="2">
        <v>31789.11</v>
      </c>
      <c r="U243" s="2">
        <v>-15978.27</v>
      </c>
      <c r="V243" s="2">
        <v>-34967.71</v>
      </c>
      <c r="W243" s="2">
        <v>-19156.87</v>
      </c>
    </row>
    <row r="244" spans="1:23" ht="15.75" customHeight="1">
      <c r="A244">
        <v>156</v>
      </c>
      <c r="B244" s="1">
        <v>45001</v>
      </c>
      <c r="C244" t="s">
        <v>56</v>
      </c>
      <c r="D244">
        <v>1</v>
      </c>
      <c r="E244" t="s">
        <v>45</v>
      </c>
      <c r="F244">
        <v>3</v>
      </c>
      <c r="G244" t="s">
        <v>37</v>
      </c>
      <c r="H244" t="s">
        <v>36</v>
      </c>
      <c r="I244" t="s">
        <v>35</v>
      </c>
      <c r="J244" t="s">
        <v>41</v>
      </c>
      <c r="K244" s="2">
        <v>133956.23000000001</v>
      </c>
      <c r="L244" s="2">
        <v>62897.47</v>
      </c>
      <c r="M244" s="2">
        <v>71058.759999999995</v>
      </c>
      <c r="N244" s="2">
        <v>11562.8</v>
      </c>
      <c r="O244" s="2">
        <v>59495.96</v>
      </c>
      <c r="P244" s="3">
        <v>44.41</v>
      </c>
      <c r="Q244" s="2">
        <v>3197160.35</v>
      </c>
      <c r="R244" s="2">
        <v>1569352.56</v>
      </c>
      <c r="S244" s="2">
        <v>1627807.79</v>
      </c>
      <c r="T244" s="2">
        <v>31330.58</v>
      </c>
      <c r="U244" s="2">
        <v>-37789.199999999997</v>
      </c>
      <c r="V244" s="2">
        <v>23649.07</v>
      </c>
      <c r="W244" s="2">
        <v>17190.45</v>
      </c>
    </row>
    <row r="245" spans="1:23" ht="15.75" customHeight="1">
      <c r="A245">
        <v>27</v>
      </c>
      <c r="B245" s="1">
        <v>45002</v>
      </c>
      <c r="C245" t="s">
        <v>56</v>
      </c>
      <c r="D245">
        <v>1</v>
      </c>
      <c r="E245" t="s">
        <v>45</v>
      </c>
      <c r="F245">
        <v>3</v>
      </c>
      <c r="G245" t="s">
        <v>33</v>
      </c>
      <c r="H245" t="s">
        <v>36</v>
      </c>
      <c r="I245" t="s">
        <v>38</v>
      </c>
      <c r="J245" t="s">
        <v>39</v>
      </c>
      <c r="K245" s="2">
        <v>43698.559999999998</v>
      </c>
      <c r="L245" s="2">
        <v>27114.44</v>
      </c>
      <c r="M245" s="2">
        <v>16584.12</v>
      </c>
      <c r="N245" s="2">
        <v>1908.45</v>
      </c>
      <c r="O245" s="2">
        <v>14675.67</v>
      </c>
      <c r="P245" s="3">
        <v>33.58</v>
      </c>
      <c r="Q245" s="2">
        <v>2139214.37</v>
      </c>
      <c r="R245" s="2">
        <v>965570.58</v>
      </c>
      <c r="S245" s="2">
        <v>1173643.79</v>
      </c>
      <c r="T245" s="2">
        <v>39907.26</v>
      </c>
      <c r="U245" s="2">
        <v>-66068.789999999994</v>
      </c>
      <c r="V245" s="2">
        <v>39941.040000000001</v>
      </c>
      <c r="W245" s="2">
        <v>13779.51</v>
      </c>
    </row>
    <row r="246" spans="1:23" ht="15.75" customHeight="1">
      <c r="A246">
        <v>349</v>
      </c>
      <c r="B246" s="1">
        <v>45012</v>
      </c>
      <c r="C246" t="s">
        <v>56</v>
      </c>
      <c r="D246">
        <v>1</v>
      </c>
      <c r="E246" t="s">
        <v>45</v>
      </c>
      <c r="F246">
        <v>3</v>
      </c>
      <c r="G246" t="s">
        <v>37</v>
      </c>
      <c r="H246" t="s">
        <v>36</v>
      </c>
      <c r="I246" t="s">
        <v>38</v>
      </c>
      <c r="J246" t="s">
        <v>32</v>
      </c>
      <c r="K246" s="2">
        <v>137897.48000000001</v>
      </c>
      <c r="L246" s="2">
        <v>79697.61</v>
      </c>
      <c r="M246" s="2">
        <v>58199.87</v>
      </c>
      <c r="N246" s="2">
        <v>11295.77</v>
      </c>
      <c r="O246" s="2">
        <v>46904.1</v>
      </c>
      <c r="P246" s="3">
        <v>34.01</v>
      </c>
      <c r="Q246" s="2">
        <v>4124435.19</v>
      </c>
      <c r="R246" s="2">
        <v>2593042.71</v>
      </c>
      <c r="S246" s="2">
        <v>1531392.48</v>
      </c>
      <c r="T246" s="2">
        <v>48921.08</v>
      </c>
      <c r="U246" s="2">
        <v>8329.7999999999993</v>
      </c>
      <c r="V246" s="2">
        <v>-13407.15</v>
      </c>
      <c r="W246" s="2">
        <v>43843.73</v>
      </c>
    </row>
    <row r="247" spans="1:23" ht="15.75" customHeight="1">
      <c r="A247">
        <v>418</v>
      </c>
      <c r="B247" s="1">
        <v>45012</v>
      </c>
      <c r="C247" t="s">
        <v>56</v>
      </c>
      <c r="D247">
        <v>1</v>
      </c>
      <c r="E247" t="s">
        <v>45</v>
      </c>
      <c r="F247">
        <v>3</v>
      </c>
      <c r="G247" t="s">
        <v>25</v>
      </c>
      <c r="H247" t="s">
        <v>36</v>
      </c>
      <c r="I247" t="s">
        <v>38</v>
      </c>
      <c r="J247" t="s">
        <v>29</v>
      </c>
      <c r="K247" s="2">
        <v>75864.81</v>
      </c>
      <c r="L247" s="2">
        <v>35648.550000000003</v>
      </c>
      <c r="M247" s="2">
        <v>40216.26</v>
      </c>
      <c r="N247" s="2">
        <v>7793.54</v>
      </c>
      <c r="O247" s="2">
        <v>32422.720000000001</v>
      </c>
      <c r="P247" s="3">
        <v>42.74</v>
      </c>
      <c r="Q247" s="2">
        <v>1540759.68</v>
      </c>
      <c r="R247" s="2">
        <v>535303.75</v>
      </c>
      <c r="S247" s="2">
        <v>1005455.93</v>
      </c>
      <c r="T247" s="2">
        <v>26906.49</v>
      </c>
      <c r="U247" s="2">
        <v>-63631.519999999997</v>
      </c>
      <c r="V247" s="2">
        <v>-22287.29</v>
      </c>
      <c r="W247" s="2">
        <v>-59012.32</v>
      </c>
    </row>
    <row r="248" spans="1:23" ht="15.75" customHeight="1">
      <c r="A248">
        <v>101</v>
      </c>
      <c r="B248" s="1">
        <v>45012</v>
      </c>
      <c r="C248" t="s">
        <v>56</v>
      </c>
      <c r="D248">
        <v>1</v>
      </c>
      <c r="E248" t="s">
        <v>45</v>
      </c>
      <c r="F248">
        <v>3</v>
      </c>
      <c r="G248" t="s">
        <v>25</v>
      </c>
      <c r="H248" t="s">
        <v>36</v>
      </c>
      <c r="I248" t="s">
        <v>27</v>
      </c>
      <c r="J248" t="s">
        <v>32</v>
      </c>
      <c r="K248" s="2">
        <v>138632.51999999999</v>
      </c>
      <c r="L248" s="2">
        <v>69133.27</v>
      </c>
      <c r="M248" s="2">
        <v>69499.25</v>
      </c>
      <c r="N248" s="2">
        <v>14017.32</v>
      </c>
      <c r="O248" s="2">
        <v>55481.93</v>
      </c>
      <c r="P248" s="3">
        <v>40.020000000000003</v>
      </c>
      <c r="Q248" s="2">
        <v>4590646.34</v>
      </c>
      <c r="R248" s="2">
        <v>1477606.23</v>
      </c>
      <c r="S248" s="2">
        <v>3113040.11</v>
      </c>
      <c r="T248" s="2">
        <v>44485.4</v>
      </c>
      <c r="U248" s="2">
        <v>27139.51</v>
      </c>
      <c r="V248" s="2">
        <v>-21902.3</v>
      </c>
      <c r="W248" s="2">
        <v>49722.61</v>
      </c>
    </row>
    <row r="249" spans="1:23" ht="15.75" customHeight="1">
      <c r="A249">
        <v>384</v>
      </c>
      <c r="B249" s="1">
        <v>45012</v>
      </c>
      <c r="C249" t="s">
        <v>56</v>
      </c>
      <c r="D249">
        <v>1</v>
      </c>
      <c r="E249" t="s">
        <v>45</v>
      </c>
      <c r="F249">
        <v>3</v>
      </c>
      <c r="G249" t="s">
        <v>40</v>
      </c>
      <c r="H249" t="s">
        <v>36</v>
      </c>
      <c r="I249" t="s">
        <v>27</v>
      </c>
      <c r="J249" t="s">
        <v>41</v>
      </c>
      <c r="K249" s="2">
        <v>77403.08</v>
      </c>
      <c r="L249" s="2">
        <v>38463.519999999997</v>
      </c>
      <c r="M249" s="2">
        <v>38939.56</v>
      </c>
      <c r="N249" s="2">
        <v>5708.39</v>
      </c>
      <c r="O249" s="2">
        <v>33231.17</v>
      </c>
      <c r="P249" s="3">
        <v>42.93</v>
      </c>
      <c r="Q249" s="2">
        <v>1231973.67</v>
      </c>
      <c r="R249" s="2">
        <v>669881.09</v>
      </c>
      <c r="S249" s="2">
        <v>562092.57999999996</v>
      </c>
      <c r="T249" s="2">
        <v>19937.64</v>
      </c>
      <c r="U249" s="2">
        <v>-64143.47</v>
      </c>
      <c r="V249" s="2">
        <v>15236.61</v>
      </c>
      <c r="W249" s="2">
        <v>-28969.22</v>
      </c>
    </row>
    <row r="250" spans="1:23" ht="15.75" customHeight="1">
      <c r="A250">
        <v>374</v>
      </c>
      <c r="B250" s="1">
        <v>45018</v>
      </c>
      <c r="C250" t="s">
        <v>56</v>
      </c>
      <c r="D250">
        <v>2</v>
      </c>
      <c r="E250" t="s">
        <v>46</v>
      </c>
      <c r="F250">
        <v>4</v>
      </c>
      <c r="G250" t="s">
        <v>43</v>
      </c>
      <c r="H250" t="s">
        <v>36</v>
      </c>
      <c r="I250" t="s">
        <v>35</v>
      </c>
      <c r="J250" t="s">
        <v>41</v>
      </c>
      <c r="K250" s="2">
        <v>38585.72</v>
      </c>
      <c r="L250" s="2">
        <v>18303.150000000001</v>
      </c>
      <c r="M250" s="2">
        <v>20282.57</v>
      </c>
      <c r="N250" s="2">
        <v>4695.8999999999996</v>
      </c>
      <c r="O250" s="2">
        <v>15586.67</v>
      </c>
      <c r="P250" s="3">
        <v>40.39</v>
      </c>
      <c r="Q250" s="2">
        <v>2587164.12</v>
      </c>
      <c r="R250" s="2">
        <v>977976.31</v>
      </c>
      <c r="S250" s="2">
        <v>1609187.81</v>
      </c>
      <c r="T250" s="2">
        <v>23703.57</v>
      </c>
      <c r="U250" s="2">
        <v>-38169.589999999997</v>
      </c>
      <c r="V250" s="2">
        <v>8903.58</v>
      </c>
      <c r="W250" s="2">
        <v>-5562.44</v>
      </c>
    </row>
    <row r="251" spans="1:23" ht="15.75" customHeight="1">
      <c r="A251">
        <v>539</v>
      </c>
      <c r="B251" s="1">
        <v>45019</v>
      </c>
      <c r="C251" t="s">
        <v>56</v>
      </c>
      <c r="D251">
        <v>2</v>
      </c>
      <c r="E251" t="s">
        <v>46</v>
      </c>
      <c r="F251">
        <v>4</v>
      </c>
      <c r="G251" t="s">
        <v>29</v>
      </c>
      <c r="H251" t="s">
        <v>34</v>
      </c>
      <c r="I251" t="s">
        <v>35</v>
      </c>
      <c r="J251" t="s">
        <v>41</v>
      </c>
      <c r="K251" s="2">
        <v>105292.38</v>
      </c>
      <c r="L251" s="2">
        <v>47672.32</v>
      </c>
      <c r="M251" s="2">
        <v>57620.06</v>
      </c>
      <c r="N251" s="2">
        <v>8749.99</v>
      </c>
      <c r="O251" s="2">
        <v>48870.07</v>
      </c>
      <c r="P251" s="3">
        <v>46.41</v>
      </c>
      <c r="Q251" s="2">
        <v>3731306.73</v>
      </c>
      <c r="R251" s="2">
        <v>1593557.08</v>
      </c>
      <c r="S251" s="2">
        <v>2137749.65</v>
      </c>
      <c r="T251" s="2">
        <v>77447.61</v>
      </c>
      <c r="U251" s="2">
        <v>-46698.1</v>
      </c>
      <c r="V251" s="2">
        <v>41314.199999999997</v>
      </c>
      <c r="W251" s="2">
        <v>72063.710000000006</v>
      </c>
    </row>
    <row r="252" spans="1:23" ht="15.75" customHeight="1">
      <c r="A252">
        <v>484</v>
      </c>
      <c r="B252" s="1">
        <v>45024</v>
      </c>
      <c r="C252" t="s">
        <v>56</v>
      </c>
      <c r="D252">
        <v>2</v>
      </c>
      <c r="E252" t="s">
        <v>46</v>
      </c>
      <c r="F252">
        <v>4</v>
      </c>
      <c r="G252" t="s">
        <v>33</v>
      </c>
      <c r="H252" t="s">
        <v>26</v>
      </c>
      <c r="I252" t="s">
        <v>38</v>
      </c>
      <c r="J252" t="s">
        <v>29</v>
      </c>
      <c r="K252" s="2">
        <v>112099.96</v>
      </c>
      <c r="L252" s="2">
        <v>55087.69</v>
      </c>
      <c r="M252" s="2">
        <v>57012.27</v>
      </c>
      <c r="N252" s="2">
        <v>10468.370000000001</v>
      </c>
      <c r="O252" s="2">
        <v>46543.9</v>
      </c>
      <c r="P252" s="3">
        <v>41.52</v>
      </c>
      <c r="Q252" s="2">
        <v>3057943.79</v>
      </c>
      <c r="R252" s="2">
        <v>1733234.02</v>
      </c>
      <c r="S252" s="2">
        <v>1324709.77</v>
      </c>
      <c r="T252" s="2">
        <v>95478.91</v>
      </c>
      <c r="U252" s="2">
        <v>-44912.65</v>
      </c>
      <c r="V252" s="2">
        <v>10965.65</v>
      </c>
      <c r="W252" s="2">
        <v>61531.91</v>
      </c>
    </row>
    <row r="253" spans="1:23" ht="15.75" customHeight="1">
      <c r="A253">
        <v>550</v>
      </c>
      <c r="B253" s="1">
        <v>45027</v>
      </c>
      <c r="C253" t="s">
        <v>56</v>
      </c>
      <c r="D253">
        <v>2</v>
      </c>
      <c r="E253" t="s">
        <v>46</v>
      </c>
      <c r="F253">
        <v>4</v>
      </c>
      <c r="G253" t="s">
        <v>40</v>
      </c>
      <c r="H253" t="s">
        <v>36</v>
      </c>
      <c r="I253" t="s">
        <v>27</v>
      </c>
      <c r="J253" t="s">
        <v>28</v>
      </c>
      <c r="K253" s="2">
        <v>149793.48000000001</v>
      </c>
      <c r="L253" s="2">
        <v>114524.47</v>
      </c>
      <c r="M253" s="2">
        <v>35269.01</v>
      </c>
      <c r="N253" s="2">
        <v>4555.1899999999996</v>
      </c>
      <c r="O253" s="2">
        <v>30713.82</v>
      </c>
      <c r="P253" s="3">
        <v>20.5</v>
      </c>
      <c r="Q253" s="2">
        <v>4785170.3499999996</v>
      </c>
      <c r="R253" s="2">
        <v>1291728.31</v>
      </c>
      <c r="S253" s="2">
        <v>3493442.04</v>
      </c>
      <c r="T253" s="2">
        <v>12706.56</v>
      </c>
      <c r="U253" s="2">
        <v>-16241.89</v>
      </c>
      <c r="V253" s="2">
        <v>17579.25</v>
      </c>
      <c r="W253" s="2">
        <v>14043.92</v>
      </c>
    </row>
    <row r="254" spans="1:23" ht="15.75" customHeight="1">
      <c r="A254">
        <v>55</v>
      </c>
      <c r="B254" s="1">
        <v>45028</v>
      </c>
      <c r="C254" t="s">
        <v>56</v>
      </c>
      <c r="D254">
        <v>2</v>
      </c>
      <c r="E254" t="s">
        <v>46</v>
      </c>
      <c r="F254">
        <v>4</v>
      </c>
      <c r="G254" t="s">
        <v>25</v>
      </c>
      <c r="H254" t="s">
        <v>30</v>
      </c>
      <c r="I254" t="s">
        <v>35</v>
      </c>
      <c r="J254" t="s">
        <v>41</v>
      </c>
      <c r="K254" s="2">
        <v>153684.07999999999</v>
      </c>
      <c r="L254" s="2">
        <v>91742.93</v>
      </c>
      <c r="M254" s="2">
        <v>61941.15</v>
      </c>
      <c r="N254" s="2">
        <v>11990.23</v>
      </c>
      <c r="O254" s="2">
        <v>49950.92</v>
      </c>
      <c r="P254" s="3">
        <v>32.5</v>
      </c>
      <c r="Q254" s="2">
        <v>1422429.33</v>
      </c>
      <c r="R254" s="2">
        <v>522400.1</v>
      </c>
      <c r="S254" s="2">
        <v>900029.23</v>
      </c>
      <c r="T254" s="2">
        <v>91657.79</v>
      </c>
      <c r="U254" s="2">
        <v>-68699.81</v>
      </c>
      <c r="V254" s="2">
        <v>-31449.15</v>
      </c>
      <c r="W254" s="2">
        <v>-8491.17</v>
      </c>
    </row>
    <row r="255" spans="1:23" ht="15.75" customHeight="1">
      <c r="A255">
        <v>500</v>
      </c>
      <c r="B255" s="1">
        <v>45030</v>
      </c>
      <c r="C255" t="s">
        <v>56</v>
      </c>
      <c r="D255">
        <v>2</v>
      </c>
      <c r="E255" t="s">
        <v>46</v>
      </c>
      <c r="F255">
        <v>4</v>
      </c>
      <c r="G255" t="s">
        <v>40</v>
      </c>
      <c r="H255" t="s">
        <v>26</v>
      </c>
      <c r="I255" t="s">
        <v>35</v>
      </c>
      <c r="J255" t="s">
        <v>32</v>
      </c>
      <c r="K255" s="2">
        <v>72008.86</v>
      </c>
      <c r="L255" s="2">
        <v>51496.73</v>
      </c>
      <c r="M255" s="2">
        <v>20512.13</v>
      </c>
      <c r="N255" s="2">
        <v>2891.64</v>
      </c>
      <c r="O255" s="2">
        <v>17620.490000000002</v>
      </c>
      <c r="P255" s="3">
        <v>24.47</v>
      </c>
      <c r="Q255" s="2">
        <v>1705066.14</v>
      </c>
      <c r="R255" s="2">
        <v>721059.55</v>
      </c>
      <c r="S255" s="2">
        <v>984006.59</v>
      </c>
      <c r="T255" s="2">
        <v>-5060.51</v>
      </c>
      <c r="U255" s="2">
        <v>4660.32</v>
      </c>
      <c r="V255" s="2">
        <v>-38740.36</v>
      </c>
      <c r="W255" s="2">
        <v>-39140.550000000003</v>
      </c>
    </row>
    <row r="256" spans="1:23" ht="15.75" customHeight="1">
      <c r="A256">
        <v>281</v>
      </c>
      <c r="B256" s="1">
        <v>45032</v>
      </c>
      <c r="C256" t="s">
        <v>56</v>
      </c>
      <c r="D256">
        <v>2</v>
      </c>
      <c r="E256" t="s">
        <v>46</v>
      </c>
      <c r="F256">
        <v>4</v>
      </c>
      <c r="G256" t="s">
        <v>25</v>
      </c>
      <c r="H256" t="s">
        <v>36</v>
      </c>
      <c r="I256" t="s">
        <v>27</v>
      </c>
      <c r="J256" t="s">
        <v>39</v>
      </c>
      <c r="K256" s="2">
        <v>70871.149999999994</v>
      </c>
      <c r="L256" s="2">
        <v>43933.03</v>
      </c>
      <c r="M256" s="2">
        <v>26938.12</v>
      </c>
      <c r="N256" s="2">
        <v>4037.64</v>
      </c>
      <c r="O256" s="2">
        <v>22900.48</v>
      </c>
      <c r="P256" s="3">
        <v>32.31</v>
      </c>
      <c r="Q256" s="2">
        <v>3748681.52</v>
      </c>
      <c r="R256" s="2">
        <v>1514172.86</v>
      </c>
      <c r="S256" s="2">
        <v>2234508.66</v>
      </c>
      <c r="T256" s="2">
        <v>32050.6</v>
      </c>
      <c r="U256" s="2">
        <v>-27039.14</v>
      </c>
      <c r="V256" s="2">
        <v>34062.61</v>
      </c>
      <c r="W256" s="2">
        <v>39074.07</v>
      </c>
    </row>
    <row r="257" spans="1:23" ht="15.75" customHeight="1">
      <c r="A257">
        <v>517</v>
      </c>
      <c r="B257" s="1">
        <v>45034</v>
      </c>
      <c r="C257" t="s">
        <v>56</v>
      </c>
      <c r="D257">
        <v>2</v>
      </c>
      <c r="E257" t="s">
        <v>46</v>
      </c>
      <c r="F257">
        <v>4</v>
      </c>
      <c r="G257" t="s">
        <v>37</v>
      </c>
      <c r="H257" t="s">
        <v>34</v>
      </c>
      <c r="I257" t="s">
        <v>27</v>
      </c>
      <c r="J257" t="s">
        <v>29</v>
      </c>
      <c r="K257" s="2">
        <v>116108.76</v>
      </c>
      <c r="L257" s="2">
        <v>88350.5</v>
      </c>
      <c r="M257" s="2">
        <v>27758.26</v>
      </c>
      <c r="N257" s="2">
        <v>2303.23</v>
      </c>
      <c r="O257" s="2">
        <v>25455.03</v>
      </c>
      <c r="P257" s="3">
        <v>21.92</v>
      </c>
      <c r="Q257" s="2">
        <v>720520.9</v>
      </c>
      <c r="R257" s="2">
        <v>345207.41</v>
      </c>
      <c r="S257" s="2">
        <v>375313.49</v>
      </c>
      <c r="T257" s="2">
        <v>61014.68</v>
      </c>
      <c r="U257" s="2">
        <v>-37326.11</v>
      </c>
      <c r="V257" s="2">
        <v>-5038.5600000000004</v>
      </c>
      <c r="W257" s="2">
        <v>18650.009999999998</v>
      </c>
    </row>
    <row r="258" spans="1:23" ht="15.75" customHeight="1">
      <c r="A258">
        <v>61</v>
      </c>
      <c r="B258" s="1">
        <v>45037</v>
      </c>
      <c r="C258" t="s">
        <v>56</v>
      </c>
      <c r="D258">
        <v>2</v>
      </c>
      <c r="E258" t="s">
        <v>46</v>
      </c>
      <c r="F258">
        <v>4</v>
      </c>
      <c r="G258" t="s">
        <v>25</v>
      </c>
      <c r="H258" t="s">
        <v>26</v>
      </c>
      <c r="I258" t="s">
        <v>38</v>
      </c>
      <c r="J258" t="s">
        <v>28</v>
      </c>
      <c r="K258" s="2">
        <v>87679.13</v>
      </c>
      <c r="L258" s="2">
        <v>64464.959999999999</v>
      </c>
      <c r="M258" s="2">
        <v>23214.17</v>
      </c>
      <c r="N258" s="2">
        <v>3522.66</v>
      </c>
      <c r="O258" s="2">
        <v>19691.509999999998</v>
      </c>
      <c r="P258" s="3">
        <v>22.46</v>
      </c>
      <c r="Q258" s="2">
        <v>2092421.19</v>
      </c>
      <c r="R258" s="2">
        <v>1325446.03</v>
      </c>
      <c r="S258" s="2">
        <v>766975.16</v>
      </c>
      <c r="T258" s="2">
        <v>4441.18</v>
      </c>
      <c r="U258" s="2">
        <v>-60966.3</v>
      </c>
      <c r="V258" s="2">
        <v>37098.589999999997</v>
      </c>
      <c r="W258" s="2">
        <v>-19426.53</v>
      </c>
    </row>
    <row r="259" spans="1:23" ht="15.75" customHeight="1">
      <c r="A259">
        <v>503</v>
      </c>
      <c r="B259" s="1">
        <v>45050</v>
      </c>
      <c r="C259" t="s">
        <v>56</v>
      </c>
      <c r="D259">
        <v>2</v>
      </c>
      <c r="E259" t="s">
        <v>47</v>
      </c>
      <c r="F259">
        <v>5</v>
      </c>
      <c r="G259" t="s">
        <v>37</v>
      </c>
      <c r="H259" t="s">
        <v>26</v>
      </c>
      <c r="I259" t="s">
        <v>38</v>
      </c>
      <c r="J259" t="s">
        <v>41</v>
      </c>
      <c r="K259" s="2">
        <v>25321.86</v>
      </c>
      <c r="L259" s="2">
        <v>13837.44</v>
      </c>
      <c r="M259" s="2">
        <v>11484.42</v>
      </c>
      <c r="N259" s="2">
        <v>1930.62</v>
      </c>
      <c r="O259" s="2">
        <v>9553.7999999999993</v>
      </c>
      <c r="P259" s="3">
        <v>37.729999999999997</v>
      </c>
      <c r="Q259" s="2">
        <v>3749972.44</v>
      </c>
      <c r="R259" s="2">
        <v>1198726.23</v>
      </c>
      <c r="S259" s="2">
        <v>2551246.21</v>
      </c>
      <c r="T259" s="2">
        <v>23304.29</v>
      </c>
      <c r="U259" s="2">
        <v>1445.97</v>
      </c>
      <c r="V259" s="2">
        <v>4462.7700000000004</v>
      </c>
      <c r="W259" s="2">
        <v>29213.03</v>
      </c>
    </row>
    <row r="260" spans="1:23" ht="15.75" customHeight="1">
      <c r="A260">
        <v>464</v>
      </c>
      <c r="B260" s="1">
        <v>45050</v>
      </c>
      <c r="C260" t="s">
        <v>56</v>
      </c>
      <c r="D260">
        <v>2</v>
      </c>
      <c r="E260" t="s">
        <v>47</v>
      </c>
      <c r="F260">
        <v>5</v>
      </c>
      <c r="G260" t="s">
        <v>40</v>
      </c>
      <c r="H260" t="s">
        <v>34</v>
      </c>
      <c r="I260" t="s">
        <v>27</v>
      </c>
      <c r="J260" t="s">
        <v>29</v>
      </c>
      <c r="K260" s="2">
        <v>40587.22</v>
      </c>
      <c r="L260" s="2">
        <v>24169.96</v>
      </c>
      <c r="M260" s="2">
        <v>16417.259999999998</v>
      </c>
      <c r="N260" s="2">
        <v>3034.59</v>
      </c>
      <c r="O260" s="2">
        <v>13382.67</v>
      </c>
      <c r="P260" s="3">
        <v>32.97</v>
      </c>
      <c r="Q260" s="2">
        <v>4373595.22</v>
      </c>
      <c r="R260" s="2">
        <v>1699048.82</v>
      </c>
      <c r="S260" s="2">
        <v>2674546.4</v>
      </c>
      <c r="T260" s="2">
        <v>35685.61</v>
      </c>
      <c r="U260" s="2">
        <v>-34980.129999999997</v>
      </c>
      <c r="V260" s="2">
        <v>21721.96</v>
      </c>
      <c r="W260" s="2">
        <v>22427.439999999999</v>
      </c>
    </row>
    <row r="261" spans="1:23" ht="15.75" customHeight="1">
      <c r="A261">
        <v>267</v>
      </c>
      <c r="B261" s="1">
        <v>45051</v>
      </c>
      <c r="C261" t="s">
        <v>56</v>
      </c>
      <c r="D261">
        <v>2</v>
      </c>
      <c r="E261" t="s">
        <v>47</v>
      </c>
      <c r="F261">
        <v>5</v>
      </c>
      <c r="G261" t="s">
        <v>25</v>
      </c>
      <c r="H261" t="s">
        <v>34</v>
      </c>
      <c r="I261" t="s">
        <v>27</v>
      </c>
      <c r="J261" t="s">
        <v>28</v>
      </c>
      <c r="K261" s="2">
        <v>174577.38</v>
      </c>
      <c r="L261" s="2">
        <v>94765.91</v>
      </c>
      <c r="M261" s="2">
        <v>79811.47</v>
      </c>
      <c r="N261" s="2">
        <v>15557.21</v>
      </c>
      <c r="O261" s="2">
        <v>64254.26</v>
      </c>
      <c r="P261" s="3">
        <v>36.81</v>
      </c>
      <c r="Q261" s="2">
        <v>3679834.41</v>
      </c>
      <c r="R261" s="2">
        <v>1817849.12</v>
      </c>
      <c r="S261" s="2">
        <v>1861985.29</v>
      </c>
      <c r="T261" s="2">
        <v>59286.85</v>
      </c>
      <c r="U261" s="2">
        <v>-42890.37</v>
      </c>
      <c r="V261" s="2">
        <v>19766.830000000002</v>
      </c>
      <c r="W261" s="2">
        <v>36163.31</v>
      </c>
    </row>
    <row r="262" spans="1:23" ht="15.75" customHeight="1">
      <c r="A262">
        <v>38</v>
      </c>
      <c r="B262" s="1">
        <v>45053</v>
      </c>
      <c r="C262" t="s">
        <v>56</v>
      </c>
      <c r="D262">
        <v>2</v>
      </c>
      <c r="E262" t="s">
        <v>47</v>
      </c>
      <c r="F262">
        <v>5</v>
      </c>
      <c r="G262" t="s">
        <v>25</v>
      </c>
      <c r="H262" t="s">
        <v>34</v>
      </c>
      <c r="I262" t="s">
        <v>38</v>
      </c>
      <c r="J262" t="s">
        <v>32</v>
      </c>
      <c r="K262" s="2">
        <v>88320.34</v>
      </c>
      <c r="L262" s="2">
        <v>70231.19</v>
      </c>
      <c r="M262" s="2">
        <v>18089.150000000001</v>
      </c>
      <c r="N262" s="2">
        <v>4494.3900000000003</v>
      </c>
      <c r="O262" s="2">
        <v>13594.76</v>
      </c>
      <c r="P262" s="3">
        <v>15.39</v>
      </c>
      <c r="Q262" s="2">
        <v>1422508.15</v>
      </c>
      <c r="R262" s="2">
        <v>571409.34</v>
      </c>
      <c r="S262" s="2">
        <v>851098.81</v>
      </c>
      <c r="T262" s="2">
        <v>57710.71</v>
      </c>
      <c r="U262" s="2">
        <v>2159.66</v>
      </c>
      <c r="V262" s="2">
        <v>-35190.54</v>
      </c>
      <c r="W262" s="2">
        <v>24679.83</v>
      </c>
    </row>
    <row r="263" spans="1:23" ht="15.75" customHeight="1">
      <c r="A263">
        <v>582</v>
      </c>
      <c r="B263" s="1">
        <v>45057</v>
      </c>
      <c r="C263" t="s">
        <v>56</v>
      </c>
      <c r="D263">
        <v>2</v>
      </c>
      <c r="E263" t="s">
        <v>47</v>
      </c>
      <c r="F263">
        <v>5</v>
      </c>
      <c r="G263" t="s">
        <v>29</v>
      </c>
      <c r="H263" t="s">
        <v>34</v>
      </c>
      <c r="I263" t="s">
        <v>38</v>
      </c>
      <c r="J263" t="s">
        <v>44</v>
      </c>
      <c r="K263" s="2">
        <v>73284.41</v>
      </c>
      <c r="L263" s="2">
        <v>54207.14</v>
      </c>
      <c r="M263" s="2">
        <v>19077.27</v>
      </c>
      <c r="N263" s="2">
        <v>2961.77</v>
      </c>
      <c r="O263" s="2">
        <v>16115.5</v>
      </c>
      <c r="P263" s="3">
        <v>21.99</v>
      </c>
      <c r="Q263" s="2">
        <v>2683700.34</v>
      </c>
      <c r="R263" s="2">
        <v>1505995.38</v>
      </c>
      <c r="S263" s="2">
        <v>1177704.96</v>
      </c>
      <c r="T263" s="2">
        <v>16704.57</v>
      </c>
      <c r="U263" s="2">
        <v>-25687.27</v>
      </c>
      <c r="V263" s="2">
        <v>-2380.9499999999998</v>
      </c>
      <c r="W263" s="2">
        <v>-11363.65</v>
      </c>
    </row>
    <row r="264" spans="1:23" ht="15.75" customHeight="1">
      <c r="A264">
        <v>3</v>
      </c>
      <c r="B264" s="1">
        <v>45057</v>
      </c>
      <c r="C264" t="s">
        <v>56</v>
      </c>
      <c r="D264">
        <v>2</v>
      </c>
      <c r="E264" t="s">
        <v>47</v>
      </c>
      <c r="F264">
        <v>5</v>
      </c>
      <c r="G264" t="s">
        <v>29</v>
      </c>
      <c r="H264" t="s">
        <v>30</v>
      </c>
      <c r="I264" t="s">
        <v>35</v>
      </c>
      <c r="J264" t="s">
        <v>41</v>
      </c>
      <c r="K264" s="2">
        <v>149147.14000000001</v>
      </c>
      <c r="L264" s="2">
        <v>104485.37</v>
      </c>
      <c r="M264" s="2">
        <v>44661.77</v>
      </c>
      <c r="N264" s="2">
        <v>7926.23</v>
      </c>
      <c r="O264" s="2">
        <v>36735.54</v>
      </c>
      <c r="P264" s="3">
        <v>24.63</v>
      </c>
      <c r="Q264" s="2">
        <v>1078251.5900000001</v>
      </c>
      <c r="R264" s="2">
        <v>619435.77</v>
      </c>
      <c r="S264" s="2">
        <v>458815.82</v>
      </c>
      <c r="T264" s="2">
        <v>72386.7</v>
      </c>
      <c r="U264" s="2">
        <v>-7406.03</v>
      </c>
      <c r="V264" s="2">
        <v>42042.68</v>
      </c>
      <c r="W264" s="2">
        <v>107023.35</v>
      </c>
    </row>
    <row r="265" spans="1:23" ht="15.75" customHeight="1">
      <c r="A265">
        <v>313</v>
      </c>
      <c r="B265" s="1">
        <v>45060</v>
      </c>
      <c r="C265" t="s">
        <v>56</v>
      </c>
      <c r="D265">
        <v>2</v>
      </c>
      <c r="E265" t="s">
        <v>47</v>
      </c>
      <c r="F265">
        <v>5</v>
      </c>
      <c r="G265" t="s">
        <v>40</v>
      </c>
      <c r="H265" t="s">
        <v>26</v>
      </c>
      <c r="I265" t="s">
        <v>35</v>
      </c>
      <c r="J265" t="s">
        <v>39</v>
      </c>
      <c r="K265" s="2">
        <v>47772.9</v>
      </c>
      <c r="L265" s="2">
        <v>27554.39</v>
      </c>
      <c r="M265" s="2">
        <v>20218.509999999998</v>
      </c>
      <c r="N265" s="2">
        <v>4589.4399999999996</v>
      </c>
      <c r="O265" s="2">
        <v>15629.07</v>
      </c>
      <c r="P265" s="3">
        <v>32.72</v>
      </c>
      <c r="Q265" s="2">
        <v>1197163.8999999999</v>
      </c>
      <c r="R265" s="2">
        <v>338910.8</v>
      </c>
      <c r="S265" s="2">
        <v>858253.1</v>
      </c>
      <c r="T265" s="2">
        <v>24392.11</v>
      </c>
      <c r="U265" s="2">
        <v>-39758.050000000003</v>
      </c>
      <c r="V265" s="2">
        <v>16340.84</v>
      </c>
      <c r="W265" s="2">
        <v>974.9</v>
      </c>
    </row>
    <row r="266" spans="1:23" ht="15.75" customHeight="1">
      <c r="A266">
        <v>182</v>
      </c>
      <c r="B266" s="1">
        <v>45060</v>
      </c>
      <c r="C266" t="s">
        <v>56</v>
      </c>
      <c r="D266">
        <v>2</v>
      </c>
      <c r="E266" t="s">
        <v>47</v>
      </c>
      <c r="F266">
        <v>5</v>
      </c>
      <c r="G266" t="s">
        <v>33</v>
      </c>
      <c r="H266" t="s">
        <v>30</v>
      </c>
      <c r="I266" t="s">
        <v>31</v>
      </c>
      <c r="J266" t="s">
        <v>28</v>
      </c>
      <c r="K266" s="2">
        <v>88977.98</v>
      </c>
      <c r="L266" s="2">
        <v>66455.08</v>
      </c>
      <c r="M266" s="2">
        <v>22522.9</v>
      </c>
      <c r="N266" s="2">
        <v>3636.14</v>
      </c>
      <c r="O266" s="2">
        <v>18886.759999999998</v>
      </c>
      <c r="P266" s="3">
        <v>21.23</v>
      </c>
      <c r="Q266" s="2">
        <v>581000.4</v>
      </c>
      <c r="R266" s="2">
        <v>243193.76</v>
      </c>
      <c r="S266" s="2">
        <v>337806.64</v>
      </c>
      <c r="T266" s="2">
        <v>-8939.24</v>
      </c>
      <c r="U266" s="2">
        <v>26624.34</v>
      </c>
      <c r="V266" s="2">
        <v>-27254.6</v>
      </c>
      <c r="W266" s="2">
        <v>-9569.5</v>
      </c>
    </row>
    <row r="267" spans="1:23" ht="15.75" customHeight="1">
      <c r="A267">
        <v>538</v>
      </c>
      <c r="B267" s="1">
        <v>45063</v>
      </c>
      <c r="C267" t="s">
        <v>56</v>
      </c>
      <c r="D267">
        <v>2</v>
      </c>
      <c r="E267" t="s">
        <v>47</v>
      </c>
      <c r="F267">
        <v>5</v>
      </c>
      <c r="G267" t="s">
        <v>29</v>
      </c>
      <c r="H267" t="s">
        <v>30</v>
      </c>
      <c r="I267" t="s">
        <v>31</v>
      </c>
      <c r="J267" t="s">
        <v>28</v>
      </c>
      <c r="K267" s="2">
        <v>50189.22</v>
      </c>
      <c r="L267" s="2">
        <v>40407.64</v>
      </c>
      <c r="M267" s="2">
        <v>9781.58</v>
      </c>
      <c r="N267" s="2">
        <v>2198.59</v>
      </c>
      <c r="O267" s="2">
        <v>7582.99</v>
      </c>
      <c r="P267" s="3">
        <v>15.11</v>
      </c>
      <c r="Q267" s="2">
        <v>4387053.3</v>
      </c>
      <c r="R267" s="2">
        <v>1810578.57</v>
      </c>
      <c r="S267" s="2">
        <v>2576474.73</v>
      </c>
      <c r="T267" s="2">
        <v>38571.89</v>
      </c>
      <c r="U267" s="2">
        <v>-55612.38</v>
      </c>
      <c r="V267" s="2">
        <v>-39138.1</v>
      </c>
      <c r="W267" s="2">
        <v>-56178.59</v>
      </c>
    </row>
    <row r="268" spans="1:23" ht="15.75" customHeight="1">
      <c r="A268">
        <v>172</v>
      </c>
      <c r="B268" s="1">
        <v>45067</v>
      </c>
      <c r="C268" t="s">
        <v>56</v>
      </c>
      <c r="D268">
        <v>2</v>
      </c>
      <c r="E268" t="s">
        <v>47</v>
      </c>
      <c r="F268">
        <v>5</v>
      </c>
      <c r="G268" t="s">
        <v>29</v>
      </c>
      <c r="H268" t="s">
        <v>30</v>
      </c>
      <c r="I268" t="s">
        <v>35</v>
      </c>
      <c r="J268" t="s">
        <v>28</v>
      </c>
      <c r="K268" s="2">
        <v>67848.460000000006</v>
      </c>
      <c r="L268" s="2">
        <v>38373</v>
      </c>
      <c r="M268" s="2">
        <v>29475.46</v>
      </c>
      <c r="N268" s="2">
        <v>5578.37</v>
      </c>
      <c r="O268" s="2">
        <v>23897.09</v>
      </c>
      <c r="P268" s="3">
        <v>35.22</v>
      </c>
      <c r="Q268" s="2">
        <v>1381283.66</v>
      </c>
      <c r="R268" s="2">
        <v>840902.25</v>
      </c>
      <c r="S268" s="2">
        <v>540381.41</v>
      </c>
      <c r="T268" s="2">
        <v>35512.33</v>
      </c>
      <c r="U268" s="2">
        <v>-25239.71</v>
      </c>
      <c r="V268" s="2">
        <v>15782.02</v>
      </c>
      <c r="W268" s="2">
        <v>26054.639999999999</v>
      </c>
    </row>
    <row r="269" spans="1:23" ht="15.75" customHeight="1">
      <c r="A269">
        <v>320</v>
      </c>
      <c r="B269" s="1">
        <v>45068</v>
      </c>
      <c r="C269" t="s">
        <v>56</v>
      </c>
      <c r="D269">
        <v>2</v>
      </c>
      <c r="E269" t="s">
        <v>47</v>
      </c>
      <c r="F269">
        <v>5</v>
      </c>
      <c r="G269" t="s">
        <v>43</v>
      </c>
      <c r="H269" t="s">
        <v>30</v>
      </c>
      <c r="I269" t="s">
        <v>38</v>
      </c>
      <c r="J269" t="s">
        <v>39</v>
      </c>
      <c r="K269" s="2">
        <v>77309.45</v>
      </c>
      <c r="L269" s="2">
        <v>55655.199999999997</v>
      </c>
      <c r="M269" s="2">
        <v>21654.25</v>
      </c>
      <c r="N269" s="2">
        <v>3842.5</v>
      </c>
      <c r="O269" s="2">
        <v>17811.75</v>
      </c>
      <c r="P269" s="3">
        <v>23.04</v>
      </c>
      <c r="Q269" s="2">
        <v>2019421.86</v>
      </c>
      <c r="R269" s="2">
        <v>1303352.3600000001</v>
      </c>
      <c r="S269" s="2">
        <v>716069.5</v>
      </c>
      <c r="T269" s="2">
        <v>-10169.26</v>
      </c>
      <c r="U269" s="2">
        <v>-44735.4</v>
      </c>
      <c r="V269" s="2">
        <v>12007.41</v>
      </c>
      <c r="W269" s="2">
        <v>-42897.25</v>
      </c>
    </row>
    <row r="270" spans="1:23" ht="15.75" customHeight="1">
      <c r="A270">
        <v>18</v>
      </c>
      <c r="B270" s="1">
        <v>45068</v>
      </c>
      <c r="C270" t="s">
        <v>56</v>
      </c>
      <c r="D270">
        <v>2</v>
      </c>
      <c r="E270" t="s">
        <v>47</v>
      </c>
      <c r="F270">
        <v>5</v>
      </c>
      <c r="G270" t="s">
        <v>37</v>
      </c>
      <c r="H270" t="s">
        <v>26</v>
      </c>
      <c r="I270" t="s">
        <v>31</v>
      </c>
      <c r="J270" t="s">
        <v>37</v>
      </c>
      <c r="K270" s="2">
        <v>37826.01</v>
      </c>
      <c r="L270" s="2">
        <v>29291.13</v>
      </c>
      <c r="M270" s="2">
        <v>8534.8799999999992</v>
      </c>
      <c r="N270" s="2">
        <v>1483.11</v>
      </c>
      <c r="O270" s="2">
        <v>7051.77</v>
      </c>
      <c r="P270" s="3">
        <v>18.64</v>
      </c>
      <c r="Q270" s="2">
        <v>1241754.18</v>
      </c>
      <c r="R270" s="2">
        <v>514709.65</v>
      </c>
      <c r="S270" s="2">
        <v>727044.53</v>
      </c>
      <c r="T270" s="2">
        <v>39259.949999999997</v>
      </c>
      <c r="U270" s="2">
        <v>-21962.99</v>
      </c>
      <c r="V270" s="2">
        <v>58528.61</v>
      </c>
      <c r="W270" s="2">
        <v>75825.570000000007</v>
      </c>
    </row>
    <row r="271" spans="1:23" ht="15.75" customHeight="1">
      <c r="A271">
        <v>533</v>
      </c>
      <c r="B271" s="1">
        <v>45073</v>
      </c>
      <c r="C271" t="s">
        <v>56</v>
      </c>
      <c r="D271">
        <v>2</v>
      </c>
      <c r="E271" t="s">
        <v>47</v>
      </c>
      <c r="F271">
        <v>5</v>
      </c>
      <c r="G271" t="s">
        <v>29</v>
      </c>
      <c r="H271" t="s">
        <v>36</v>
      </c>
      <c r="I271" t="s">
        <v>38</v>
      </c>
      <c r="J271" t="s">
        <v>39</v>
      </c>
      <c r="K271" s="2">
        <v>34573.17</v>
      </c>
      <c r="L271" s="2">
        <v>24951.79</v>
      </c>
      <c r="M271" s="2">
        <v>9621.3799999999992</v>
      </c>
      <c r="N271" s="2">
        <v>1623.08</v>
      </c>
      <c r="O271" s="2">
        <v>7998.3</v>
      </c>
      <c r="P271" s="3">
        <v>23.13</v>
      </c>
      <c r="Q271" s="2">
        <v>1459417.69</v>
      </c>
      <c r="R271" s="2">
        <v>821202.07</v>
      </c>
      <c r="S271" s="2">
        <v>638215.62</v>
      </c>
      <c r="T271" s="2">
        <v>-5701.26</v>
      </c>
      <c r="U271" s="2">
        <v>-43933.83</v>
      </c>
      <c r="V271" s="2">
        <v>-30747.14</v>
      </c>
      <c r="W271" s="2">
        <v>-80382.23</v>
      </c>
    </row>
    <row r="272" spans="1:23" ht="15.75" customHeight="1">
      <c r="A272">
        <v>371</v>
      </c>
      <c r="B272" s="1">
        <v>45074</v>
      </c>
      <c r="C272" t="s">
        <v>56</v>
      </c>
      <c r="D272">
        <v>2</v>
      </c>
      <c r="E272" t="s">
        <v>47</v>
      </c>
      <c r="F272">
        <v>5</v>
      </c>
      <c r="G272" t="s">
        <v>37</v>
      </c>
      <c r="H272" t="s">
        <v>26</v>
      </c>
      <c r="I272" t="s">
        <v>27</v>
      </c>
      <c r="J272" t="s">
        <v>37</v>
      </c>
      <c r="K272" s="2">
        <v>39634.93</v>
      </c>
      <c r="L272" s="2">
        <v>30029.87</v>
      </c>
      <c r="M272" s="2">
        <v>9605.06</v>
      </c>
      <c r="N272" s="2">
        <v>2268.02</v>
      </c>
      <c r="O272" s="2">
        <v>7337.04</v>
      </c>
      <c r="P272" s="3">
        <v>18.510000000000002</v>
      </c>
      <c r="Q272" s="2">
        <v>3424046.21</v>
      </c>
      <c r="R272" s="2">
        <v>997676.83</v>
      </c>
      <c r="S272" s="2">
        <v>2426369.38</v>
      </c>
      <c r="T272" s="2">
        <v>9499.2199999999993</v>
      </c>
      <c r="U272" s="2">
        <v>2893.92</v>
      </c>
      <c r="V272" s="2">
        <v>37982.089999999997</v>
      </c>
      <c r="W272" s="2">
        <v>50375.23</v>
      </c>
    </row>
    <row r="273" spans="1:23" ht="15.75" customHeight="1">
      <c r="A273">
        <v>413</v>
      </c>
      <c r="B273" s="1">
        <v>45075</v>
      </c>
      <c r="C273" t="s">
        <v>56</v>
      </c>
      <c r="D273">
        <v>2</v>
      </c>
      <c r="E273" t="s">
        <v>47</v>
      </c>
      <c r="F273">
        <v>5</v>
      </c>
      <c r="G273" t="s">
        <v>25</v>
      </c>
      <c r="H273" t="s">
        <v>30</v>
      </c>
      <c r="I273" t="s">
        <v>38</v>
      </c>
      <c r="J273" t="s">
        <v>32</v>
      </c>
      <c r="K273" s="2">
        <v>104393.28</v>
      </c>
      <c r="L273" s="2">
        <v>73260.84</v>
      </c>
      <c r="M273" s="2">
        <v>31132.44</v>
      </c>
      <c r="N273" s="2">
        <v>7421.62</v>
      </c>
      <c r="O273" s="2">
        <v>23710.82</v>
      </c>
      <c r="P273" s="3">
        <v>22.71</v>
      </c>
      <c r="Q273" s="2">
        <v>3291670.63</v>
      </c>
      <c r="R273" s="2">
        <v>1881196.66</v>
      </c>
      <c r="S273" s="2">
        <v>1410473.97</v>
      </c>
      <c r="T273" s="2">
        <v>408.82</v>
      </c>
      <c r="U273" s="2">
        <v>-31406.05</v>
      </c>
      <c r="V273" s="2">
        <v>-2605.29</v>
      </c>
      <c r="W273" s="2">
        <v>-33602.519999999997</v>
      </c>
    </row>
    <row r="274" spans="1:23" ht="15.75" customHeight="1">
      <c r="A274">
        <v>114</v>
      </c>
      <c r="B274" s="1">
        <v>45075</v>
      </c>
      <c r="C274" t="s">
        <v>56</v>
      </c>
      <c r="D274">
        <v>2</v>
      </c>
      <c r="E274" t="s">
        <v>47</v>
      </c>
      <c r="F274">
        <v>5</v>
      </c>
      <c r="G274" t="s">
        <v>29</v>
      </c>
      <c r="H274" t="s">
        <v>34</v>
      </c>
      <c r="I274" t="s">
        <v>27</v>
      </c>
      <c r="J274" t="s">
        <v>37</v>
      </c>
      <c r="K274" s="2">
        <v>96841.58</v>
      </c>
      <c r="L274" s="2">
        <v>57186.96</v>
      </c>
      <c r="M274" s="2">
        <v>39654.620000000003</v>
      </c>
      <c r="N274" s="2">
        <v>8992.35</v>
      </c>
      <c r="O274" s="2">
        <v>30662.27</v>
      </c>
      <c r="P274" s="3">
        <v>31.66</v>
      </c>
      <c r="Q274" s="2">
        <v>2835868.03</v>
      </c>
      <c r="R274" s="2">
        <v>1252525.6299999999</v>
      </c>
      <c r="S274" s="2">
        <v>1583342.4</v>
      </c>
      <c r="T274" s="2">
        <v>2713.64</v>
      </c>
      <c r="U274" s="2">
        <v>-35875.22</v>
      </c>
      <c r="V274" s="2">
        <v>-1980.44</v>
      </c>
      <c r="W274" s="2">
        <v>-35142.019999999997</v>
      </c>
    </row>
    <row r="275" spans="1:23" ht="15.75" customHeight="1">
      <c r="A275">
        <v>335</v>
      </c>
      <c r="B275" s="1">
        <v>45077</v>
      </c>
      <c r="C275" t="s">
        <v>56</v>
      </c>
      <c r="D275">
        <v>2</v>
      </c>
      <c r="E275" t="s">
        <v>47</v>
      </c>
      <c r="F275">
        <v>5</v>
      </c>
      <c r="G275" t="s">
        <v>29</v>
      </c>
      <c r="H275" t="s">
        <v>36</v>
      </c>
      <c r="I275" t="s">
        <v>27</v>
      </c>
      <c r="J275" t="s">
        <v>44</v>
      </c>
      <c r="K275" s="2">
        <v>32013.62</v>
      </c>
      <c r="L275" s="2">
        <v>16987.27</v>
      </c>
      <c r="M275" s="2">
        <v>15026.35</v>
      </c>
      <c r="N275" s="2">
        <v>1240.8800000000001</v>
      </c>
      <c r="O275" s="2">
        <v>13785.47</v>
      </c>
      <c r="P275" s="3">
        <v>43.06</v>
      </c>
      <c r="Q275" s="2">
        <v>3116376.98</v>
      </c>
      <c r="R275" s="2">
        <v>911045.68</v>
      </c>
      <c r="S275" s="2">
        <v>2205331.2999999998</v>
      </c>
      <c r="T275" s="2">
        <v>53627.02</v>
      </c>
      <c r="U275" s="2">
        <v>-17685.7</v>
      </c>
      <c r="V275" s="2">
        <v>29968.99</v>
      </c>
      <c r="W275" s="2">
        <v>65910.31</v>
      </c>
    </row>
    <row r="276" spans="1:23" ht="15.75" customHeight="1">
      <c r="A276">
        <v>535</v>
      </c>
      <c r="B276" s="1">
        <v>45080</v>
      </c>
      <c r="C276" t="s">
        <v>56</v>
      </c>
      <c r="D276">
        <v>2</v>
      </c>
      <c r="E276" t="s">
        <v>48</v>
      </c>
      <c r="F276">
        <v>6</v>
      </c>
      <c r="G276" t="s">
        <v>40</v>
      </c>
      <c r="H276" t="s">
        <v>36</v>
      </c>
      <c r="I276" t="s">
        <v>38</v>
      </c>
      <c r="J276" t="s">
        <v>28</v>
      </c>
      <c r="K276" s="2">
        <v>72413.7</v>
      </c>
      <c r="L276" s="2">
        <v>45530.82</v>
      </c>
      <c r="M276" s="2">
        <v>26882.880000000001</v>
      </c>
      <c r="N276" s="2">
        <v>2439.38</v>
      </c>
      <c r="O276" s="2">
        <v>24443.5</v>
      </c>
      <c r="P276" s="3">
        <v>33.76</v>
      </c>
      <c r="Q276" s="2">
        <v>3250136.85</v>
      </c>
      <c r="R276" s="2">
        <v>2091443.61</v>
      </c>
      <c r="S276" s="2">
        <v>1158693.24</v>
      </c>
      <c r="T276" s="2">
        <v>23308</v>
      </c>
      <c r="U276" s="2">
        <v>5284.75</v>
      </c>
      <c r="V276" s="2">
        <v>10003.39</v>
      </c>
      <c r="W276" s="2">
        <v>38596.14</v>
      </c>
    </row>
    <row r="277" spans="1:23" ht="15.75" customHeight="1">
      <c r="A277">
        <v>290</v>
      </c>
      <c r="B277" s="1">
        <v>45080</v>
      </c>
      <c r="C277" t="s">
        <v>56</v>
      </c>
      <c r="D277">
        <v>2</v>
      </c>
      <c r="E277" t="s">
        <v>48</v>
      </c>
      <c r="F277">
        <v>6</v>
      </c>
      <c r="G277" t="s">
        <v>37</v>
      </c>
      <c r="H277" t="s">
        <v>34</v>
      </c>
      <c r="I277" t="s">
        <v>38</v>
      </c>
      <c r="J277" t="s">
        <v>39</v>
      </c>
      <c r="K277" s="2">
        <v>94189.97</v>
      </c>
      <c r="L277" s="2">
        <v>44825.13</v>
      </c>
      <c r="M277" s="2">
        <v>49364.84</v>
      </c>
      <c r="N277" s="2">
        <v>10068.94</v>
      </c>
      <c r="O277" s="2">
        <v>39295.9</v>
      </c>
      <c r="P277" s="3">
        <v>41.72</v>
      </c>
      <c r="Q277" s="2">
        <v>3237840.21</v>
      </c>
      <c r="R277" s="2">
        <v>1724647.59</v>
      </c>
      <c r="S277" s="2">
        <v>1513192.62</v>
      </c>
      <c r="T277" s="2">
        <v>39254.33</v>
      </c>
      <c r="U277" s="2">
        <v>-33051.81</v>
      </c>
      <c r="V277" s="2">
        <v>-35468.07</v>
      </c>
      <c r="W277" s="2">
        <v>-29265.55</v>
      </c>
    </row>
    <row r="278" spans="1:23" ht="15.75" customHeight="1">
      <c r="A278">
        <v>178</v>
      </c>
      <c r="B278" s="1">
        <v>45088</v>
      </c>
      <c r="C278" t="s">
        <v>56</v>
      </c>
      <c r="D278">
        <v>2</v>
      </c>
      <c r="E278" t="s">
        <v>48</v>
      </c>
      <c r="F278">
        <v>6</v>
      </c>
      <c r="G278" t="s">
        <v>37</v>
      </c>
      <c r="H278" t="s">
        <v>30</v>
      </c>
      <c r="I278" t="s">
        <v>27</v>
      </c>
      <c r="J278" t="s">
        <v>44</v>
      </c>
      <c r="K278" s="2">
        <v>139649.04999999999</v>
      </c>
      <c r="L278" s="2">
        <v>72724.53</v>
      </c>
      <c r="M278" s="2">
        <v>66924.52</v>
      </c>
      <c r="N278" s="2">
        <v>12337.01</v>
      </c>
      <c r="O278" s="2">
        <v>54587.51</v>
      </c>
      <c r="P278" s="3">
        <v>39.090000000000003</v>
      </c>
      <c r="Q278" s="2">
        <v>2459774.54</v>
      </c>
      <c r="R278" s="2">
        <v>1182905.31</v>
      </c>
      <c r="S278" s="2">
        <v>1276869.23</v>
      </c>
      <c r="T278" s="2">
        <v>83633.039999999994</v>
      </c>
      <c r="U278" s="2">
        <v>10619.59</v>
      </c>
      <c r="V278" s="2">
        <v>44373.73</v>
      </c>
      <c r="W278" s="2">
        <v>138626.35999999999</v>
      </c>
    </row>
    <row r="279" spans="1:23" ht="15.75" customHeight="1">
      <c r="A279">
        <v>337</v>
      </c>
      <c r="B279" s="1">
        <v>45093</v>
      </c>
      <c r="C279" t="s">
        <v>56</v>
      </c>
      <c r="D279">
        <v>2</v>
      </c>
      <c r="E279" t="s">
        <v>48</v>
      </c>
      <c r="F279">
        <v>6</v>
      </c>
      <c r="G279" t="s">
        <v>25</v>
      </c>
      <c r="H279" t="s">
        <v>26</v>
      </c>
      <c r="I279" t="s">
        <v>31</v>
      </c>
      <c r="J279" t="s">
        <v>44</v>
      </c>
      <c r="K279" s="2">
        <v>117201.34</v>
      </c>
      <c r="L279" s="2">
        <v>84781.18</v>
      </c>
      <c r="M279" s="2">
        <v>32420.16</v>
      </c>
      <c r="N279" s="2">
        <v>2772.42</v>
      </c>
      <c r="O279" s="2">
        <v>29647.74</v>
      </c>
      <c r="P279" s="3">
        <v>25.3</v>
      </c>
      <c r="Q279" s="2">
        <v>3464229.37</v>
      </c>
      <c r="R279" s="2">
        <v>1603649.8</v>
      </c>
      <c r="S279" s="2">
        <v>1860579.57</v>
      </c>
      <c r="T279" s="2">
        <v>7908.94</v>
      </c>
      <c r="U279" s="2">
        <v>-52747.61</v>
      </c>
      <c r="V279" s="2">
        <v>16797.43</v>
      </c>
      <c r="W279" s="2">
        <v>-28041.24</v>
      </c>
    </row>
    <row r="280" spans="1:23" ht="15.75" customHeight="1">
      <c r="A280">
        <v>575</v>
      </c>
      <c r="B280" s="1">
        <v>45093</v>
      </c>
      <c r="C280" t="s">
        <v>56</v>
      </c>
      <c r="D280">
        <v>2</v>
      </c>
      <c r="E280" t="s">
        <v>48</v>
      </c>
      <c r="F280">
        <v>6</v>
      </c>
      <c r="G280" t="s">
        <v>43</v>
      </c>
      <c r="H280" t="s">
        <v>30</v>
      </c>
      <c r="I280" t="s">
        <v>35</v>
      </c>
      <c r="J280" t="s">
        <v>44</v>
      </c>
      <c r="K280" s="2">
        <v>177819.8</v>
      </c>
      <c r="L280" s="2">
        <v>131382.57999999999</v>
      </c>
      <c r="M280" s="2">
        <v>46437.22</v>
      </c>
      <c r="N280" s="2">
        <v>6795.65</v>
      </c>
      <c r="O280" s="2">
        <v>39641.57</v>
      </c>
      <c r="P280" s="3">
        <v>22.29</v>
      </c>
      <c r="Q280" s="2">
        <v>3103537.7</v>
      </c>
      <c r="R280" s="2">
        <v>1907237.9</v>
      </c>
      <c r="S280" s="2">
        <v>1196299.8</v>
      </c>
      <c r="T280" s="2">
        <v>53969.51</v>
      </c>
      <c r="U280" s="2">
        <v>-52550.15</v>
      </c>
      <c r="V280" s="2">
        <v>-2129.66</v>
      </c>
      <c r="W280" s="2">
        <v>-710.3</v>
      </c>
    </row>
    <row r="281" spans="1:23" ht="15.75" customHeight="1">
      <c r="A281">
        <v>72</v>
      </c>
      <c r="B281" s="1">
        <v>45094</v>
      </c>
      <c r="C281" t="s">
        <v>56</v>
      </c>
      <c r="D281">
        <v>2</v>
      </c>
      <c r="E281" t="s">
        <v>48</v>
      </c>
      <c r="F281">
        <v>6</v>
      </c>
      <c r="G281" t="s">
        <v>33</v>
      </c>
      <c r="H281" t="s">
        <v>30</v>
      </c>
      <c r="I281" t="s">
        <v>27</v>
      </c>
      <c r="J281" t="s">
        <v>32</v>
      </c>
      <c r="K281" s="2">
        <v>42123.49</v>
      </c>
      <c r="L281" s="2">
        <v>24482.6</v>
      </c>
      <c r="M281" s="2">
        <v>17640.89</v>
      </c>
      <c r="N281" s="2">
        <v>2272.69</v>
      </c>
      <c r="O281" s="2">
        <v>15368.2</v>
      </c>
      <c r="P281" s="3">
        <v>36.479999999999997</v>
      </c>
      <c r="Q281" s="2">
        <v>1833386.54</v>
      </c>
      <c r="R281" s="2">
        <v>629663.96</v>
      </c>
      <c r="S281" s="2">
        <v>1203722.58</v>
      </c>
      <c r="T281" s="2">
        <v>-11264.34</v>
      </c>
      <c r="U281" s="2">
        <v>-68212.61</v>
      </c>
      <c r="V281" s="2">
        <v>58772.24</v>
      </c>
      <c r="W281" s="2">
        <v>-20704.71</v>
      </c>
    </row>
    <row r="282" spans="1:23" ht="15.75" customHeight="1">
      <c r="A282">
        <v>486</v>
      </c>
      <c r="B282" s="1">
        <v>45099</v>
      </c>
      <c r="C282" t="s">
        <v>56</v>
      </c>
      <c r="D282">
        <v>2</v>
      </c>
      <c r="E282" t="s">
        <v>48</v>
      </c>
      <c r="F282">
        <v>6</v>
      </c>
      <c r="G282" t="s">
        <v>25</v>
      </c>
      <c r="H282" t="s">
        <v>36</v>
      </c>
      <c r="I282" t="s">
        <v>27</v>
      </c>
      <c r="J282" t="s">
        <v>37</v>
      </c>
      <c r="K282" s="2">
        <v>172582.31</v>
      </c>
      <c r="L282" s="2">
        <v>130256.3</v>
      </c>
      <c r="M282" s="2">
        <v>42326.01</v>
      </c>
      <c r="N282" s="2">
        <v>8487.65</v>
      </c>
      <c r="O282" s="2">
        <v>33838.36</v>
      </c>
      <c r="P282" s="3">
        <v>19.61</v>
      </c>
      <c r="Q282" s="2">
        <v>3144321.44</v>
      </c>
      <c r="R282" s="2">
        <v>1818162.1</v>
      </c>
      <c r="S282" s="2">
        <v>1326159.3400000001</v>
      </c>
      <c r="T282" s="2">
        <v>35219.72</v>
      </c>
      <c r="U282" s="2">
        <v>-25244.81</v>
      </c>
      <c r="V282" s="2">
        <v>33000.17</v>
      </c>
      <c r="W282" s="2">
        <v>42975.08</v>
      </c>
    </row>
    <row r="283" spans="1:23" ht="15.75" customHeight="1">
      <c r="A283">
        <v>370</v>
      </c>
      <c r="B283" s="1">
        <v>45110</v>
      </c>
      <c r="C283" t="s">
        <v>56</v>
      </c>
      <c r="D283">
        <v>3</v>
      </c>
      <c r="E283" t="s">
        <v>49</v>
      </c>
      <c r="F283">
        <v>7</v>
      </c>
      <c r="G283" t="s">
        <v>25</v>
      </c>
      <c r="H283" t="s">
        <v>30</v>
      </c>
      <c r="I283" t="s">
        <v>31</v>
      </c>
      <c r="J283" t="s">
        <v>37</v>
      </c>
      <c r="K283" s="2">
        <v>168264.5</v>
      </c>
      <c r="L283" s="2">
        <v>96004.1</v>
      </c>
      <c r="M283" s="2">
        <v>72260.399999999994</v>
      </c>
      <c r="N283" s="2">
        <v>7350.45</v>
      </c>
      <c r="O283" s="2">
        <v>64909.95</v>
      </c>
      <c r="P283" s="3">
        <v>38.58</v>
      </c>
      <c r="Q283" s="2">
        <v>2490649.4</v>
      </c>
      <c r="R283" s="2">
        <v>664973.41</v>
      </c>
      <c r="S283" s="2">
        <v>1825675.99</v>
      </c>
      <c r="T283" s="2">
        <v>89680.05</v>
      </c>
      <c r="U283" s="2">
        <v>20270.55</v>
      </c>
      <c r="V283" s="2">
        <v>43726.3</v>
      </c>
      <c r="W283" s="2">
        <v>153676.9</v>
      </c>
    </row>
    <row r="284" spans="1:23" ht="15.75" customHeight="1">
      <c r="A284">
        <v>481</v>
      </c>
      <c r="B284" s="1">
        <v>45117</v>
      </c>
      <c r="C284" t="s">
        <v>56</v>
      </c>
      <c r="D284">
        <v>3</v>
      </c>
      <c r="E284" t="s">
        <v>49</v>
      </c>
      <c r="F284">
        <v>7</v>
      </c>
      <c r="G284" t="s">
        <v>29</v>
      </c>
      <c r="H284" t="s">
        <v>26</v>
      </c>
      <c r="I284" t="s">
        <v>38</v>
      </c>
      <c r="J284" t="s">
        <v>29</v>
      </c>
      <c r="K284" s="2">
        <v>52229.18</v>
      </c>
      <c r="L284" s="2">
        <v>33420.42</v>
      </c>
      <c r="M284" s="2">
        <v>18808.759999999998</v>
      </c>
      <c r="N284" s="2">
        <v>3792.12</v>
      </c>
      <c r="O284" s="2">
        <v>15016.64</v>
      </c>
      <c r="P284" s="3">
        <v>28.75</v>
      </c>
      <c r="Q284" s="2">
        <v>4879673.97</v>
      </c>
      <c r="R284" s="2">
        <v>1613037.34</v>
      </c>
      <c r="S284" s="2">
        <v>3266636.63</v>
      </c>
      <c r="T284" s="2">
        <v>-14219.89</v>
      </c>
      <c r="U284" s="2">
        <v>-62469.86</v>
      </c>
      <c r="V284" s="2">
        <v>-2414.75</v>
      </c>
      <c r="W284" s="2">
        <v>-79104.5</v>
      </c>
    </row>
    <row r="285" spans="1:23" ht="15.75" customHeight="1">
      <c r="A285">
        <v>449</v>
      </c>
      <c r="B285" s="1">
        <v>45124</v>
      </c>
      <c r="C285" t="s">
        <v>56</v>
      </c>
      <c r="D285">
        <v>3</v>
      </c>
      <c r="E285" t="s">
        <v>49</v>
      </c>
      <c r="F285">
        <v>7</v>
      </c>
      <c r="G285" t="s">
        <v>33</v>
      </c>
      <c r="H285" t="s">
        <v>26</v>
      </c>
      <c r="I285" t="s">
        <v>31</v>
      </c>
      <c r="J285" t="s">
        <v>39</v>
      </c>
      <c r="K285" s="2">
        <v>81304.58</v>
      </c>
      <c r="L285" s="2">
        <v>60470.77</v>
      </c>
      <c r="M285" s="2">
        <v>20833.810000000001</v>
      </c>
      <c r="N285" s="2">
        <v>4999.46</v>
      </c>
      <c r="O285" s="2">
        <v>15834.35</v>
      </c>
      <c r="P285" s="3">
        <v>19.48</v>
      </c>
      <c r="Q285" s="2">
        <v>3304446.68</v>
      </c>
      <c r="R285" s="2">
        <v>1806378.8</v>
      </c>
      <c r="S285" s="2">
        <v>1498067.88</v>
      </c>
      <c r="T285" s="2">
        <v>50242.13</v>
      </c>
      <c r="U285" s="2">
        <v>14503.96</v>
      </c>
      <c r="V285" s="2">
        <v>-494.67</v>
      </c>
      <c r="W285" s="2">
        <v>64251.42</v>
      </c>
    </row>
    <row r="286" spans="1:23" ht="15.75" customHeight="1">
      <c r="A286">
        <v>316</v>
      </c>
      <c r="B286" s="1">
        <v>45125</v>
      </c>
      <c r="C286" t="s">
        <v>56</v>
      </c>
      <c r="D286">
        <v>3</v>
      </c>
      <c r="E286" t="s">
        <v>49</v>
      </c>
      <c r="F286">
        <v>7</v>
      </c>
      <c r="G286" t="s">
        <v>33</v>
      </c>
      <c r="H286" t="s">
        <v>30</v>
      </c>
      <c r="I286" t="s">
        <v>35</v>
      </c>
      <c r="J286" t="s">
        <v>29</v>
      </c>
      <c r="K286" s="2">
        <v>170764.98</v>
      </c>
      <c r="L286" s="2">
        <v>77844</v>
      </c>
      <c r="M286" s="2">
        <v>92920.98</v>
      </c>
      <c r="N286" s="2">
        <v>15691.49</v>
      </c>
      <c r="O286" s="2">
        <v>77229.490000000005</v>
      </c>
      <c r="P286" s="3">
        <v>45.23</v>
      </c>
      <c r="Q286" s="2">
        <v>2618903.1</v>
      </c>
      <c r="R286" s="2">
        <v>1341983.5900000001</v>
      </c>
      <c r="S286" s="2">
        <v>1276919.51</v>
      </c>
      <c r="T286" s="2">
        <v>91995.8</v>
      </c>
      <c r="U286" s="2">
        <v>-1296.08</v>
      </c>
      <c r="V286" s="2">
        <v>25808.26</v>
      </c>
      <c r="W286" s="2">
        <v>116507.98</v>
      </c>
    </row>
    <row r="287" spans="1:23" ht="15.75" customHeight="1">
      <c r="A287">
        <v>149</v>
      </c>
      <c r="B287" s="1">
        <v>45126</v>
      </c>
      <c r="C287" t="s">
        <v>56</v>
      </c>
      <c r="D287">
        <v>3</v>
      </c>
      <c r="E287" t="s">
        <v>49</v>
      </c>
      <c r="F287">
        <v>7</v>
      </c>
      <c r="G287" t="s">
        <v>25</v>
      </c>
      <c r="H287" t="s">
        <v>30</v>
      </c>
      <c r="I287" t="s">
        <v>35</v>
      </c>
      <c r="J287" t="s">
        <v>28</v>
      </c>
      <c r="K287" s="2">
        <v>52992.160000000003</v>
      </c>
      <c r="L287" s="2">
        <v>24902.48</v>
      </c>
      <c r="M287" s="2">
        <v>28089.68</v>
      </c>
      <c r="N287" s="2">
        <v>3775.54</v>
      </c>
      <c r="O287" s="2">
        <v>24314.14</v>
      </c>
      <c r="P287" s="3">
        <v>45.88</v>
      </c>
      <c r="Q287" s="2">
        <v>3889343.01</v>
      </c>
      <c r="R287" s="2">
        <v>1391344.47</v>
      </c>
      <c r="S287" s="2">
        <v>2497998.54</v>
      </c>
      <c r="T287" s="2">
        <v>37478.639999999999</v>
      </c>
      <c r="U287" s="2">
        <v>2794.72</v>
      </c>
      <c r="V287" s="2">
        <v>-29205.63</v>
      </c>
      <c r="W287" s="2">
        <v>11067.73</v>
      </c>
    </row>
    <row r="288" spans="1:23" ht="15.75" customHeight="1">
      <c r="A288">
        <v>540</v>
      </c>
      <c r="B288" s="1">
        <v>45132</v>
      </c>
      <c r="C288" t="s">
        <v>56</v>
      </c>
      <c r="D288">
        <v>3</v>
      </c>
      <c r="E288" t="s">
        <v>49</v>
      </c>
      <c r="F288">
        <v>7</v>
      </c>
      <c r="G288" t="s">
        <v>29</v>
      </c>
      <c r="H288" t="s">
        <v>36</v>
      </c>
      <c r="I288" t="s">
        <v>27</v>
      </c>
      <c r="J288" t="s">
        <v>39</v>
      </c>
      <c r="K288" s="2">
        <v>93227.95</v>
      </c>
      <c r="L288" s="2">
        <v>44343.3</v>
      </c>
      <c r="M288" s="2">
        <v>48884.65</v>
      </c>
      <c r="N288" s="2">
        <v>8715.99</v>
      </c>
      <c r="O288" s="2">
        <v>40168.660000000003</v>
      </c>
      <c r="P288" s="3">
        <v>43.09</v>
      </c>
      <c r="Q288" s="2">
        <v>3189345.98</v>
      </c>
      <c r="R288" s="2">
        <v>1740018.45</v>
      </c>
      <c r="S288" s="2">
        <v>1449327.53</v>
      </c>
      <c r="T288" s="2">
        <v>12502.25</v>
      </c>
      <c r="U288" s="2">
        <v>-15876.18</v>
      </c>
      <c r="V288" s="2">
        <v>-34709.26</v>
      </c>
      <c r="W288" s="2">
        <v>-38083.19</v>
      </c>
    </row>
    <row r="289" spans="1:23" ht="15.75" customHeight="1">
      <c r="A289">
        <v>259</v>
      </c>
      <c r="B289" s="1">
        <v>45148</v>
      </c>
      <c r="C289" t="s">
        <v>56</v>
      </c>
      <c r="D289">
        <v>3</v>
      </c>
      <c r="E289" t="s">
        <v>50</v>
      </c>
      <c r="F289">
        <v>8</v>
      </c>
      <c r="G289" t="s">
        <v>37</v>
      </c>
      <c r="H289" t="s">
        <v>36</v>
      </c>
      <c r="I289" t="s">
        <v>27</v>
      </c>
      <c r="J289" t="s">
        <v>44</v>
      </c>
      <c r="K289" s="2">
        <v>91587.37</v>
      </c>
      <c r="L289" s="2">
        <v>51679.89</v>
      </c>
      <c r="M289" s="2">
        <v>39907.480000000003</v>
      </c>
      <c r="N289" s="2">
        <v>6464.41</v>
      </c>
      <c r="O289" s="2">
        <v>33443.07</v>
      </c>
      <c r="P289" s="3">
        <v>36.51</v>
      </c>
      <c r="Q289" s="2">
        <v>1033215.61</v>
      </c>
      <c r="R289" s="2">
        <v>655684.14</v>
      </c>
      <c r="S289" s="2">
        <v>377531.47</v>
      </c>
      <c r="T289" s="2">
        <v>60595.93</v>
      </c>
      <c r="U289" s="2">
        <v>25246.71</v>
      </c>
      <c r="V289" s="2">
        <v>-17327.259999999998</v>
      </c>
      <c r="W289" s="2">
        <v>68515.38</v>
      </c>
    </row>
    <row r="290" spans="1:23" ht="15.75" customHeight="1">
      <c r="A290">
        <v>394</v>
      </c>
      <c r="B290" s="1">
        <v>45151</v>
      </c>
      <c r="C290" t="s">
        <v>56</v>
      </c>
      <c r="D290">
        <v>3</v>
      </c>
      <c r="E290" t="s">
        <v>50</v>
      </c>
      <c r="F290">
        <v>8</v>
      </c>
      <c r="G290" t="s">
        <v>40</v>
      </c>
      <c r="H290" t="s">
        <v>36</v>
      </c>
      <c r="I290" t="s">
        <v>27</v>
      </c>
      <c r="J290" t="s">
        <v>39</v>
      </c>
      <c r="K290" s="2">
        <v>26136.79</v>
      </c>
      <c r="L290" s="2">
        <v>12011.15</v>
      </c>
      <c r="M290" s="2">
        <v>14125.64</v>
      </c>
      <c r="N290" s="2">
        <v>2458.6999999999998</v>
      </c>
      <c r="O290" s="2">
        <v>11666.94</v>
      </c>
      <c r="P290" s="3">
        <v>44.64</v>
      </c>
      <c r="Q290" s="2">
        <v>2842022.32</v>
      </c>
      <c r="R290" s="2">
        <v>1841155.26</v>
      </c>
      <c r="S290" s="2">
        <v>1000867.06</v>
      </c>
      <c r="T290" s="2">
        <v>-2185.71</v>
      </c>
      <c r="U290" s="2">
        <v>-44189.61</v>
      </c>
      <c r="V290" s="2">
        <v>-28645.94</v>
      </c>
      <c r="W290" s="2">
        <v>-75021.259999999995</v>
      </c>
    </row>
    <row r="291" spans="1:23" ht="15.75" customHeight="1">
      <c r="A291">
        <v>307</v>
      </c>
      <c r="B291" s="1">
        <v>45151</v>
      </c>
      <c r="C291" t="s">
        <v>56</v>
      </c>
      <c r="D291">
        <v>3</v>
      </c>
      <c r="E291" t="s">
        <v>50</v>
      </c>
      <c r="F291">
        <v>8</v>
      </c>
      <c r="G291" t="s">
        <v>43</v>
      </c>
      <c r="H291" t="s">
        <v>34</v>
      </c>
      <c r="I291" t="s">
        <v>38</v>
      </c>
      <c r="J291" t="s">
        <v>39</v>
      </c>
      <c r="K291" s="2">
        <v>124049.98</v>
      </c>
      <c r="L291" s="2">
        <v>99588.31</v>
      </c>
      <c r="M291" s="2">
        <v>24461.67</v>
      </c>
      <c r="N291" s="2">
        <v>5623.12</v>
      </c>
      <c r="O291" s="2">
        <v>18838.55</v>
      </c>
      <c r="P291" s="3">
        <v>15.19</v>
      </c>
      <c r="Q291" s="2">
        <v>3130249.08</v>
      </c>
      <c r="R291" s="2">
        <v>1826552.86</v>
      </c>
      <c r="S291" s="2">
        <v>1303696.22</v>
      </c>
      <c r="T291" s="2">
        <v>40244.76</v>
      </c>
      <c r="U291" s="2">
        <v>-62144.22</v>
      </c>
      <c r="V291" s="2">
        <v>34056.47</v>
      </c>
      <c r="W291" s="2">
        <v>12157.01</v>
      </c>
    </row>
    <row r="292" spans="1:23" ht="15.75" customHeight="1">
      <c r="A292">
        <v>76</v>
      </c>
      <c r="B292" s="1">
        <v>45152</v>
      </c>
      <c r="C292" t="s">
        <v>56</v>
      </c>
      <c r="D292">
        <v>3</v>
      </c>
      <c r="E292" t="s">
        <v>50</v>
      </c>
      <c r="F292">
        <v>8</v>
      </c>
      <c r="G292" t="s">
        <v>40</v>
      </c>
      <c r="H292" t="s">
        <v>26</v>
      </c>
      <c r="I292" t="s">
        <v>31</v>
      </c>
      <c r="J292" t="s">
        <v>28</v>
      </c>
      <c r="K292" s="2">
        <v>142526.96</v>
      </c>
      <c r="L292" s="2">
        <v>100841.76</v>
      </c>
      <c r="M292" s="2">
        <v>41685.199999999997</v>
      </c>
      <c r="N292" s="2">
        <v>4425.3999999999996</v>
      </c>
      <c r="O292" s="2">
        <v>37259.800000000003</v>
      </c>
      <c r="P292" s="3">
        <v>26.14</v>
      </c>
      <c r="Q292" s="2">
        <v>4171249.06</v>
      </c>
      <c r="R292" s="2">
        <v>1417291.27</v>
      </c>
      <c r="S292" s="2">
        <v>2753957.79</v>
      </c>
      <c r="T292" s="2">
        <v>25165.21</v>
      </c>
      <c r="U292" s="2">
        <v>-16302.56</v>
      </c>
      <c r="V292" s="2">
        <v>19293.990000000002</v>
      </c>
      <c r="W292" s="2">
        <v>28156.639999999999</v>
      </c>
    </row>
    <row r="293" spans="1:23" ht="15.75" customHeight="1">
      <c r="A293">
        <v>30</v>
      </c>
      <c r="B293" s="1">
        <v>45152</v>
      </c>
      <c r="C293" t="s">
        <v>56</v>
      </c>
      <c r="D293">
        <v>3</v>
      </c>
      <c r="E293" t="s">
        <v>50</v>
      </c>
      <c r="F293">
        <v>8</v>
      </c>
      <c r="G293" t="s">
        <v>40</v>
      </c>
      <c r="H293" t="s">
        <v>34</v>
      </c>
      <c r="I293" t="s">
        <v>27</v>
      </c>
      <c r="J293" t="s">
        <v>32</v>
      </c>
      <c r="K293" s="2">
        <v>79892.73</v>
      </c>
      <c r="L293" s="2">
        <v>47692.01</v>
      </c>
      <c r="M293" s="2">
        <v>32200.720000000001</v>
      </c>
      <c r="N293" s="2">
        <v>3150.12</v>
      </c>
      <c r="O293" s="2">
        <v>29050.6</v>
      </c>
      <c r="P293" s="3">
        <v>36.36</v>
      </c>
      <c r="Q293" s="2">
        <v>3818323.43</v>
      </c>
      <c r="R293" s="2">
        <v>1232988.3799999999</v>
      </c>
      <c r="S293" s="2">
        <v>2585335.0499999998</v>
      </c>
      <c r="T293" s="2">
        <v>44167.81</v>
      </c>
      <c r="U293" s="2">
        <v>14071</v>
      </c>
      <c r="V293" s="2">
        <v>-31079.57</v>
      </c>
      <c r="W293" s="2">
        <v>27159.24</v>
      </c>
    </row>
    <row r="294" spans="1:23" ht="15.75" customHeight="1">
      <c r="A294">
        <v>377</v>
      </c>
      <c r="B294" s="1">
        <v>45153</v>
      </c>
      <c r="C294" t="s">
        <v>56</v>
      </c>
      <c r="D294">
        <v>3</v>
      </c>
      <c r="E294" t="s">
        <v>50</v>
      </c>
      <c r="F294">
        <v>8</v>
      </c>
      <c r="G294" t="s">
        <v>40</v>
      </c>
      <c r="H294" t="s">
        <v>30</v>
      </c>
      <c r="I294" t="s">
        <v>31</v>
      </c>
      <c r="J294" t="s">
        <v>29</v>
      </c>
      <c r="K294" s="2">
        <v>41746.910000000003</v>
      </c>
      <c r="L294" s="2">
        <v>26177.05</v>
      </c>
      <c r="M294" s="2">
        <v>15569.86</v>
      </c>
      <c r="N294" s="2">
        <v>2795.5</v>
      </c>
      <c r="O294" s="2">
        <v>12774.36</v>
      </c>
      <c r="P294" s="3">
        <v>30.6</v>
      </c>
      <c r="Q294" s="2">
        <v>2936184.89</v>
      </c>
      <c r="R294" s="2">
        <v>835088.75</v>
      </c>
      <c r="S294" s="2">
        <v>2101096.14</v>
      </c>
      <c r="T294" s="2">
        <v>-12663.49</v>
      </c>
      <c r="U294" s="2">
        <v>-59451.66</v>
      </c>
      <c r="V294" s="2">
        <v>18558.77</v>
      </c>
      <c r="W294" s="2">
        <v>-53556.38</v>
      </c>
    </row>
    <row r="295" spans="1:23" ht="15.75" customHeight="1">
      <c r="A295">
        <v>49</v>
      </c>
      <c r="B295" s="1">
        <v>45154</v>
      </c>
      <c r="C295" t="s">
        <v>56</v>
      </c>
      <c r="D295">
        <v>3</v>
      </c>
      <c r="E295" t="s">
        <v>50</v>
      </c>
      <c r="F295">
        <v>8</v>
      </c>
      <c r="G295" t="s">
        <v>40</v>
      </c>
      <c r="H295" t="s">
        <v>36</v>
      </c>
      <c r="I295" t="s">
        <v>35</v>
      </c>
      <c r="J295" t="s">
        <v>29</v>
      </c>
      <c r="K295" s="2">
        <v>95128.13</v>
      </c>
      <c r="L295" s="2">
        <v>47765.46</v>
      </c>
      <c r="M295" s="2">
        <v>47362.67</v>
      </c>
      <c r="N295" s="2">
        <v>5209.22</v>
      </c>
      <c r="O295" s="2">
        <v>42153.45</v>
      </c>
      <c r="P295" s="3">
        <v>44.31</v>
      </c>
      <c r="Q295" s="2">
        <v>2742654.98</v>
      </c>
      <c r="R295" s="2">
        <v>1145250.93</v>
      </c>
      <c r="S295" s="2">
        <v>1597404.05</v>
      </c>
      <c r="T295" s="2">
        <v>85341.119999999995</v>
      </c>
      <c r="U295" s="2">
        <v>-33760.61</v>
      </c>
      <c r="V295" s="2">
        <v>18058.84</v>
      </c>
      <c r="W295" s="2">
        <v>69639.350000000006</v>
      </c>
    </row>
    <row r="296" spans="1:23" ht="15.75" customHeight="1">
      <c r="A296">
        <v>598</v>
      </c>
      <c r="B296" s="1">
        <v>45154</v>
      </c>
      <c r="C296" t="s">
        <v>56</v>
      </c>
      <c r="D296">
        <v>3</v>
      </c>
      <c r="E296" t="s">
        <v>50</v>
      </c>
      <c r="F296">
        <v>8</v>
      </c>
      <c r="G296" t="s">
        <v>29</v>
      </c>
      <c r="H296" t="s">
        <v>30</v>
      </c>
      <c r="I296" t="s">
        <v>31</v>
      </c>
      <c r="J296" t="s">
        <v>39</v>
      </c>
      <c r="K296" s="2">
        <v>66547.31</v>
      </c>
      <c r="L296" s="2">
        <v>49926.61</v>
      </c>
      <c r="M296" s="2">
        <v>16620.7</v>
      </c>
      <c r="N296" s="2">
        <v>1486.08</v>
      </c>
      <c r="O296" s="2">
        <v>15134.62</v>
      </c>
      <c r="P296" s="3">
        <v>22.74</v>
      </c>
      <c r="Q296" s="2">
        <v>2921544.55</v>
      </c>
      <c r="R296" s="2">
        <v>812832.2</v>
      </c>
      <c r="S296" s="2">
        <v>2108712.35</v>
      </c>
      <c r="T296" s="2">
        <v>59857.26</v>
      </c>
      <c r="U296" s="2">
        <v>6635.13</v>
      </c>
      <c r="V296" s="2">
        <v>25794.99</v>
      </c>
      <c r="W296" s="2">
        <v>92287.38</v>
      </c>
    </row>
    <row r="297" spans="1:23" ht="15.75" customHeight="1">
      <c r="A297">
        <v>51</v>
      </c>
      <c r="B297" s="1">
        <v>45154</v>
      </c>
      <c r="C297" t="s">
        <v>56</v>
      </c>
      <c r="D297">
        <v>3</v>
      </c>
      <c r="E297" t="s">
        <v>50</v>
      </c>
      <c r="F297">
        <v>8</v>
      </c>
      <c r="G297" t="s">
        <v>29</v>
      </c>
      <c r="H297" t="s">
        <v>26</v>
      </c>
      <c r="I297" t="s">
        <v>31</v>
      </c>
      <c r="J297" t="s">
        <v>28</v>
      </c>
      <c r="K297" s="2">
        <v>141243.87</v>
      </c>
      <c r="L297" s="2">
        <v>74529.460000000006</v>
      </c>
      <c r="M297" s="2">
        <v>66714.41</v>
      </c>
      <c r="N297" s="2">
        <v>15522.39</v>
      </c>
      <c r="O297" s="2">
        <v>51192.02</v>
      </c>
      <c r="P297" s="3">
        <v>36.24</v>
      </c>
      <c r="Q297" s="2">
        <v>1423128.38</v>
      </c>
      <c r="R297" s="2">
        <v>464331.34</v>
      </c>
      <c r="S297" s="2">
        <v>958797.04</v>
      </c>
      <c r="T297" s="2">
        <v>24115.99</v>
      </c>
      <c r="U297" s="2">
        <v>-22793.31</v>
      </c>
      <c r="V297" s="2">
        <v>16484.11</v>
      </c>
      <c r="W297" s="2">
        <v>17806.79</v>
      </c>
    </row>
    <row r="298" spans="1:23" ht="15.75" customHeight="1">
      <c r="A298">
        <v>414</v>
      </c>
      <c r="B298" s="1">
        <v>45156</v>
      </c>
      <c r="C298" t="s">
        <v>56</v>
      </c>
      <c r="D298">
        <v>3</v>
      </c>
      <c r="E298" t="s">
        <v>50</v>
      </c>
      <c r="F298">
        <v>8</v>
      </c>
      <c r="G298" t="s">
        <v>37</v>
      </c>
      <c r="H298" t="s">
        <v>36</v>
      </c>
      <c r="I298" t="s">
        <v>38</v>
      </c>
      <c r="J298" t="s">
        <v>29</v>
      </c>
      <c r="K298" s="2">
        <v>48542.36</v>
      </c>
      <c r="L298" s="2">
        <v>27745.19</v>
      </c>
      <c r="M298" s="2">
        <v>20797.169999999998</v>
      </c>
      <c r="N298" s="2">
        <v>1856.34</v>
      </c>
      <c r="O298" s="2">
        <v>18940.830000000002</v>
      </c>
      <c r="P298" s="3">
        <v>39.020000000000003</v>
      </c>
      <c r="Q298" s="2">
        <v>1321061.18</v>
      </c>
      <c r="R298" s="2">
        <v>840305.69</v>
      </c>
      <c r="S298" s="2">
        <v>480755.49</v>
      </c>
      <c r="T298" s="2">
        <v>23195.55</v>
      </c>
      <c r="U298" s="2">
        <v>-6798.08</v>
      </c>
      <c r="V298" s="2">
        <v>32611.13</v>
      </c>
      <c r="W298" s="2">
        <v>49008.6</v>
      </c>
    </row>
    <row r="299" spans="1:23" ht="15.75" customHeight="1">
      <c r="A299">
        <v>161</v>
      </c>
      <c r="B299" s="1">
        <v>45157</v>
      </c>
      <c r="C299" t="s">
        <v>56</v>
      </c>
      <c r="D299">
        <v>3</v>
      </c>
      <c r="E299" t="s">
        <v>50</v>
      </c>
      <c r="F299">
        <v>8</v>
      </c>
      <c r="G299" t="s">
        <v>40</v>
      </c>
      <c r="H299" t="s">
        <v>26</v>
      </c>
      <c r="I299" t="s">
        <v>31</v>
      </c>
      <c r="J299" t="s">
        <v>39</v>
      </c>
      <c r="K299" s="2">
        <v>96018.97</v>
      </c>
      <c r="L299" s="2">
        <v>60366.98</v>
      </c>
      <c r="M299" s="2">
        <v>35651.99</v>
      </c>
      <c r="N299" s="2">
        <v>3661.16</v>
      </c>
      <c r="O299" s="2">
        <v>31990.83</v>
      </c>
      <c r="P299" s="3">
        <v>33.32</v>
      </c>
      <c r="Q299" s="2">
        <v>862706.81</v>
      </c>
      <c r="R299" s="2">
        <v>466875.98</v>
      </c>
      <c r="S299" s="2">
        <v>395830.83</v>
      </c>
      <c r="T299" s="2">
        <v>41707.72</v>
      </c>
      <c r="U299" s="2">
        <v>-26314.93</v>
      </c>
      <c r="V299" s="2">
        <v>32950.82</v>
      </c>
      <c r="W299" s="2">
        <v>48343.61</v>
      </c>
    </row>
    <row r="300" spans="1:23" ht="15.75" customHeight="1">
      <c r="A300">
        <v>466</v>
      </c>
      <c r="B300" s="1">
        <v>45158</v>
      </c>
      <c r="C300" t="s">
        <v>56</v>
      </c>
      <c r="D300">
        <v>3</v>
      </c>
      <c r="E300" t="s">
        <v>50</v>
      </c>
      <c r="F300">
        <v>8</v>
      </c>
      <c r="G300" t="s">
        <v>29</v>
      </c>
      <c r="H300" t="s">
        <v>36</v>
      </c>
      <c r="I300" t="s">
        <v>31</v>
      </c>
      <c r="J300" t="s">
        <v>41</v>
      </c>
      <c r="K300" s="2">
        <v>56226.91</v>
      </c>
      <c r="L300" s="2">
        <v>30819.5</v>
      </c>
      <c r="M300" s="2">
        <v>25407.41</v>
      </c>
      <c r="N300" s="2">
        <v>2765.83</v>
      </c>
      <c r="O300" s="2">
        <v>22641.58</v>
      </c>
      <c r="P300" s="3">
        <v>40.270000000000003</v>
      </c>
      <c r="Q300" s="2">
        <v>930383.13</v>
      </c>
      <c r="R300" s="2">
        <v>388578.67</v>
      </c>
      <c r="S300" s="2">
        <v>541804.46</v>
      </c>
      <c r="T300" s="2">
        <v>1705.55</v>
      </c>
      <c r="U300" s="2">
        <v>-52808.74</v>
      </c>
      <c r="V300" s="2">
        <v>14732.47</v>
      </c>
      <c r="W300" s="2">
        <v>-36370.720000000001</v>
      </c>
    </row>
    <row r="301" spans="1:23" ht="15.75" customHeight="1">
      <c r="A301">
        <v>495</v>
      </c>
      <c r="B301" s="1">
        <v>45168</v>
      </c>
      <c r="C301" t="s">
        <v>56</v>
      </c>
      <c r="D301">
        <v>3</v>
      </c>
      <c r="E301" t="s">
        <v>50</v>
      </c>
      <c r="F301">
        <v>8</v>
      </c>
      <c r="G301" t="s">
        <v>43</v>
      </c>
      <c r="H301" t="s">
        <v>36</v>
      </c>
      <c r="I301" t="s">
        <v>31</v>
      </c>
      <c r="J301" t="s">
        <v>39</v>
      </c>
      <c r="K301" s="2">
        <v>43527.28</v>
      </c>
      <c r="L301" s="2">
        <v>23296.59</v>
      </c>
      <c r="M301" s="2">
        <v>20230.689999999999</v>
      </c>
      <c r="N301" s="2">
        <v>1984.43</v>
      </c>
      <c r="O301" s="2">
        <v>18246.259999999998</v>
      </c>
      <c r="P301" s="3">
        <v>41.92</v>
      </c>
      <c r="Q301" s="2">
        <v>4197885.88</v>
      </c>
      <c r="R301" s="2">
        <v>1282821.8600000001</v>
      </c>
      <c r="S301" s="2">
        <v>2915064.02</v>
      </c>
      <c r="T301" s="2">
        <v>48030.06</v>
      </c>
      <c r="U301" s="2">
        <v>-65208.61</v>
      </c>
      <c r="V301" s="2">
        <v>54852.03</v>
      </c>
      <c r="W301" s="2">
        <v>37673.480000000003</v>
      </c>
    </row>
    <row r="302" spans="1:23" ht="15.75" customHeight="1">
      <c r="A302">
        <v>228</v>
      </c>
      <c r="B302" s="1">
        <v>45169</v>
      </c>
      <c r="C302" t="s">
        <v>56</v>
      </c>
      <c r="D302">
        <v>3</v>
      </c>
      <c r="E302" t="s">
        <v>50</v>
      </c>
      <c r="F302">
        <v>8</v>
      </c>
      <c r="G302" t="s">
        <v>43</v>
      </c>
      <c r="H302" t="s">
        <v>30</v>
      </c>
      <c r="I302" t="s">
        <v>27</v>
      </c>
      <c r="J302" t="s">
        <v>29</v>
      </c>
      <c r="K302" s="2">
        <v>135547.07</v>
      </c>
      <c r="L302" s="2">
        <v>70987.31</v>
      </c>
      <c r="M302" s="2">
        <v>64559.76</v>
      </c>
      <c r="N302" s="2">
        <v>14935.03</v>
      </c>
      <c r="O302" s="2">
        <v>49624.73</v>
      </c>
      <c r="P302" s="3">
        <v>36.61</v>
      </c>
      <c r="Q302" s="2">
        <v>1793343.18</v>
      </c>
      <c r="R302" s="2">
        <v>712162.39</v>
      </c>
      <c r="S302" s="2">
        <v>1081180.79</v>
      </c>
      <c r="T302" s="2">
        <v>24272.09</v>
      </c>
      <c r="U302" s="2">
        <v>-58848.78</v>
      </c>
      <c r="V302" s="2">
        <v>11586.19</v>
      </c>
      <c r="W302" s="2">
        <v>-22990.5</v>
      </c>
    </row>
    <row r="303" spans="1:23" ht="15.75" customHeight="1">
      <c r="A303">
        <v>46</v>
      </c>
      <c r="B303" s="1">
        <v>45172</v>
      </c>
      <c r="C303" t="s">
        <v>56</v>
      </c>
      <c r="D303">
        <v>3</v>
      </c>
      <c r="E303" t="s">
        <v>51</v>
      </c>
      <c r="F303">
        <v>9</v>
      </c>
      <c r="G303" t="s">
        <v>40</v>
      </c>
      <c r="H303" t="s">
        <v>26</v>
      </c>
      <c r="I303" t="s">
        <v>27</v>
      </c>
      <c r="J303" t="s">
        <v>29</v>
      </c>
      <c r="K303" s="2">
        <v>48643.55</v>
      </c>
      <c r="L303" s="2">
        <v>32261.7</v>
      </c>
      <c r="M303" s="2">
        <v>16381.85</v>
      </c>
      <c r="N303" s="2">
        <v>3000.2</v>
      </c>
      <c r="O303" s="2">
        <v>13381.65</v>
      </c>
      <c r="P303" s="3">
        <v>27.51</v>
      </c>
      <c r="Q303" s="2">
        <v>2408588.02</v>
      </c>
      <c r="R303" s="2">
        <v>1311663.31</v>
      </c>
      <c r="S303" s="2">
        <v>1096924.71</v>
      </c>
      <c r="T303" s="2">
        <v>58131.01</v>
      </c>
      <c r="U303" s="2">
        <v>22556.85</v>
      </c>
      <c r="V303" s="2">
        <v>5083.9399999999996</v>
      </c>
      <c r="W303" s="2">
        <v>85771.8</v>
      </c>
    </row>
    <row r="304" spans="1:23" ht="15.75" customHeight="1">
      <c r="A304">
        <v>448</v>
      </c>
      <c r="B304" s="1">
        <v>45177</v>
      </c>
      <c r="C304" t="s">
        <v>56</v>
      </c>
      <c r="D304">
        <v>3</v>
      </c>
      <c r="E304" t="s">
        <v>51</v>
      </c>
      <c r="F304">
        <v>9</v>
      </c>
      <c r="G304" t="s">
        <v>37</v>
      </c>
      <c r="H304" t="s">
        <v>26</v>
      </c>
      <c r="I304" t="s">
        <v>38</v>
      </c>
      <c r="J304" t="s">
        <v>29</v>
      </c>
      <c r="K304" s="2">
        <v>93952.13</v>
      </c>
      <c r="L304" s="2">
        <v>59278.9</v>
      </c>
      <c r="M304" s="2">
        <v>34673.230000000003</v>
      </c>
      <c r="N304" s="2">
        <v>4846.6400000000003</v>
      </c>
      <c r="O304" s="2">
        <v>29826.59</v>
      </c>
      <c r="P304" s="3">
        <v>31.75</v>
      </c>
      <c r="Q304" s="2">
        <v>4592968.13</v>
      </c>
      <c r="R304" s="2">
        <v>2193519.79</v>
      </c>
      <c r="S304" s="2">
        <v>2399448.34</v>
      </c>
      <c r="T304" s="2">
        <v>60800.56</v>
      </c>
      <c r="U304" s="2">
        <v>11180.67</v>
      </c>
      <c r="V304" s="2">
        <v>-5815.1</v>
      </c>
      <c r="W304" s="2">
        <v>66166.13</v>
      </c>
    </row>
    <row r="305" spans="1:23" ht="15.75" customHeight="1">
      <c r="A305">
        <v>293</v>
      </c>
      <c r="B305" s="1">
        <v>45178</v>
      </c>
      <c r="C305" t="s">
        <v>56</v>
      </c>
      <c r="D305">
        <v>3</v>
      </c>
      <c r="E305" t="s">
        <v>51</v>
      </c>
      <c r="F305">
        <v>9</v>
      </c>
      <c r="G305" t="s">
        <v>40</v>
      </c>
      <c r="H305" t="s">
        <v>36</v>
      </c>
      <c r="I305" t="s">
        <v>35</v>
      </c>
      <c r="J305" t="s">
        <v>29</v>
      </c>
      <c r="K305" s="2">
        <v>85567.05</v>
      </c>
      <c r="L305" s="2">
        <v>43528.92</v>
      </c>
      <c r="M305" s="2">
        <v>42038.13</v>
      </c>
      <c r="N305" s="2">
        <v>5208.49</v>
      </c>
      <c r="O305" s="2">
        <v>36829.64</v>
      </c>
      <c r="P305" s="3">
        <v>43.04</v>
      </c>
      <c r="Q305" s="2">
        <v>3224352.91</v>
      </c>
      <c r="R305" s="2">
        <v>1364756.52</v>
      </c>
      <c r="S305" s="2">
        <v>1859596.39</v>
      </c>
      <c r="T305" s="2">
        <v>68773.850000000006</v>
      </c>
      <c r="U305" s="2">
        <v>15258.5</v>
      </c>
      <c r="V305" s="2">
        <v>14164.64</v>
      </c>
      <c r="W305" s="2">
        <v>98196.99</v>
      </c>
    </row>
    <row r="306" spans="1:23" ht="15.75" customHeight="1">
      <c r="A306">
        <v>534</v>
      </c>
      <c r="B306" s="1">
        <v>45188</v>
      </c>
      <c r="C306" t="s">
        <v>56</v>
      </c>
      <c r="D306">
        <v>3</v>
      </c>
      <c r="E306" t="s">
        <v>51</v>
      </c>
      <c r="F306">
        <v>9</v>
      </c>
      <c r="G306" t="s">
        <v>43</v>
      </c>
      <c r="H306" t="s">
        <v>30</v>
      </c>
      <c r="I306" t="s">
        <v>31</v>
      </c>
      <c r="J306" t="s">
        <v>29</v>
      </c>
      <c r="K306" s="2">
        <v>104757.08</v>
      </c>
      <c r="L306" s="2">
        <v>74620.23</v>
      </c>
      <c r="M306" s="2">
        <v>30136.85</v>
      </c>
      <c r="N306" s="2">
        <v>7053.14</v>
      </c>
      <c r="O306" s="2">
        <v>23083.71</v>
      </c>
      <c r="P306" s="3">
        <v>22.04</v>
      </c>
      <c r="Q306" s="2">
        <v>1119803.44</v>
      </c>
      <c r="R306" s="2">
        <v>304294.53000000003</v>
      </c>
      <c r="S306" s="2">
        <v>815508.91</v>
      </c>
      <c r="T306" s="2">
        <v>-5433.79</v>
      </c>
      <c r="U306" s="2">
        <v>-55637.86</v>
      </c>
      <c r="V306" s="2">
        <v>25794.95</v>
      </c>
      <c r="W306" s="2">
        <v>-35276.699999999997</v>
      </c>
    </row>
    <row r="307" spans="1:23" ht="15.75" customHeight="1">
      <c r="A307">
        <v>523</v>
      </c>
      <c r="B307" s="1">
        <v>45189</v>
      </c>
      <c r="C307" t="s">
        <v>56</v>
      </c>
      <c r="D307">
        <v>3</v>
      </c>
      <c r="E307" t="s">
        <v>51</v>
      </c>
      <c r="F307">
        <v>9</v>
      </c>
      <c r="G307" t="s">
        <v>43</v>
      </c>
      <c r="H307" t="s">
        <v>30</v>
      </c>
      <c r="I307" t="s">
        <v>27</v>
      </c>
      <c r="J307" t="s">
        <v>29</v>
      </c>
      <c r="K307" s="2">
        <v>168842.21</v>
      </c>
      <c r="L307" s="2">
        <v>86313.06</v>
      </c>
      <c r="M307" s="2">
        <v>82529.149999999994</v>
      </c>
      <c r="N307" s="2">
        <v>6634.93</v>
      </c>
      <c r="O307" s="2">
        <v>75894.22</v>
      </c>
      <c r="P307" s="3">
        <v>44.95</v>
      </c>
      <c r="Q307" s="2">
        <v>4927689.2300000004</v>
      </c>
      <c r="R307" s="2">
        <v>3017987.98</v>
      </c>
      <c r="S307" s="2">
        <v>1909701.25</v>
      </c>
      <c r="T307" s="2">
        <v>50329.84</v>
      </c>
      <c r="U307" s="2">
        <v>13303.43</v>
      </c>
      <c r="V307" s="2">
        <v>5780.49</v>
      </c>
      <c r="W307" s="2">
        <v>69413.759999999995</v>
      </c>
    </row>
    <row r="308" spans="1:23" ht="15.75" customHeight="1">
      <c r="A308">
        <v>444</v>
      </c>
      <c r="B308" s="1">
        <v>45189</v>
      </c>
      <c r="C308" t="s">
        <v>56</v>
      </c>
      <c r="D308">
        <v>3</v>
      </c>
      <c r="E308" t="s">
        <v>51</v>
      </c>
      <c r="F308">
        <v>9</v>
      </c>
      <c r="G308" t="s">
        <v>33</v>
      </c>
      <c r="H308" t="s">
        <v>36</v>
      </c>
      <c r="I308" t="s">
        <v>35</v>
      </c>
      <c r="J308" t="s">
        <v>32</v>
      </c>
      <c r="K308" s="2">
        <v>137419.5</v>
      </c>
      <c r="L308" s="2">
        <v>80163.09</v>
      </c>
      <c r="M308" s="2">
        <v>57256.41</v>
      </c>
      <c r="N308" s="2">
        <v>5428.03</v>
      </c>
      <c r="O308" s="2">
        <v>51828.38</v>
      </c>
      <c r="P308" s="3">
        <v>37.72</v>
      </c>
      <c r="Q308" s="2">
        <v>1409672.3</v>
      </c>
      <c r="R308" s="2">
        <v>660003.12</v>
      </c>
      <c r="S308" s="2">
        <v>749669.18</v>
      </c>
      <c r="T308" s="2">
        <v>38392.949999999997</v>
      </c>
      <c r="U308" s="2">
        <v>-15602.69</v>
      </c>
      <c r="V308" s="2">
        <v>-16840.099999999999</v>
      </c>
      <c r="W308" s="2">
        <v>5950.16</v>
      </c>
    </row>
    <row r="309" spans="1:23" ht="15.75" customHeight="1">
      <c r="A309">
        <v>99</v>
      </c>
      <c r="B309" s="1">
        <v>45192</v>
      </c>
      <c r="C309" t="s">
        <v>56</v>
      </c>
      <c r="D309">
        <v>3</v>
      </c>
      <c r="E309" t="s">
        <v>51</v>
      </c>
      <c r="F309">
        <v>9</v>
      </c>
      <c r="G309" t="s">
        <v>33</v>
      </c>
      <c r="H309" t="s">
        <v>34</v>
      </c>
      <c r="I309" t="s">
        <v>31</v>
      </c>
      <c r="J309" t="s">
        <v>41</v>
      </c>
      <c r="K309" s="2">
        <v>137711.21</v>
      </c>
      <c r="L309" s="2">
        <v>99813.28</v>
      </c>
      <c r="M309" s="2">
        <v>37897.93</v>
      </c>
      <c r="N309" s="2">
        <v>5773.14</v>
      </c>
      <c r="O309" s="2">
        <v>32124.79</v>
      </c>
      <c r="P309" s="3">
        <v>23.33</v>
      </c>
      <c r="Q309" s="2">
        <v>2056707.47</v>
      </c>
      <c r="R309" s="2">
        <v>819424.15</v>
      </c>
      <c r="S309" s="2">
        <v>1237283.32</v>
      </c>
      <c r="T309" s="2">
        <v>81136.759999999995</v>
      </c>
      <c r="U309" s="2">
        <v>-65989.08</v>
      </c>
      <c r="V309" s="2">
        <v>46703.15</v>
      </c>
      <c r="W309" s="2">
        <v>61850.83</v>
      </c>
    </row>
    <row r="310" spans="1:23" ht="15.75" customHeight="1">
      <c r="A310">
        <v>588</v>
      </c>
      <c r="B310" s="1">
        <v>45193</v>
      </c>
      <c r="C310" t="s">
        <v>56</v>
      </c>
      <c r="D310">
        <v>3</v>
      </c>
      <c r="E310" t="s">
        <v>51</v>
      </c>
      <c r="F310">
        <v>9</v>
      </c>
      <c r="G310" t="s">
        <v>33</v>
      </c>
      <c r="H310" t="s">
        <v>34</v>
      </c>
      <c r="I310" t="s">
        <v>31</v>
      </c>
      <c r="J310" t="s">
        <v>44</v>
      </c>
      <c r="K310" s="2">
        <v>156514.74</v>
      </c>
      <c r="L310" s="2">
        <v>122899.61</v>
      </c>
      <c r="M310" s="2">
        <v>33615.129999999997</v>
      </c>
      <c r="N310" s="2">
        <v>5784.21</v>
      </c>
      <c r="O310" s="2">
        <v>27830.92</v>
      </c>
      <c r="P310" s="3">
        <v>17.78</v>
      </c>
      <c r="Q310" s="2">
        <v>3332406.7</v>
      </c>
      <c r="R310" s="2">
        <v>1175558.83</v>
      </c>
      <c r="S310" s="2">
        <v>2156847.87</v>
      </c>
      <c r="T310" s="2">
        <v>61895.14</v>
      </c>
      <c r="U310" s="2">
        <v>-6787.76</v>
      </c>
      <c r="V310" s="2">
        <v>10351.35</v>
      </c>
      <c r="W310" s="2">
        <v>65458.73</v>
      </c>
    </row>
    <row r="311" spans="1:23" ht="15.75" customHeight="1">
      <c r="A311">
        <v>520</v>
      </c>
      <c r="B311" s="1">
        <v>45199</v>
      </c>
      <c r="C311" t="s">
        <v>56</v>
      </c>
      <c r="D311">
        <v>3</v>
      </c>
      <c r="E311" t="s">
        <v>51</v>
      </c>
      <c r="F311">
        <v>9</v>
      </c>
      <c r="G311" t="s">
        <v>25</v>
      </c>
      <c r="H311" t="s">
        <v>34</v>
      </c>
      <c r="I311" t="s">
        <v>27</v>
      </c>
      <c r="J311" t="s">
        <v>39</v>
      </c>
      <c r="K311" s="2">
        <v>127360.18</v>
      </c>
      <c r="L311" s="2">
        <v>95443.98</v>
      </c>
      <c r="M311" s="2">
        <v>31916.2</v>
      </c>
      <c r="N311" s="2">
        <v>6203.92</v>
      </c>
      <c r="O311" s="2">
        <v>25712.28</v>
      </c>
      <c r="P311" s="3">
        <v>20.190000000000001</v>
      </c>
      <c r="Q311" s="2">
        <v>2737531.38</v>
      </c>
      <c r="R311" s="2">
        <v>1724980.95</v>
      </c>
      <c r="S311" s="2">
        <v>1012550.43</v>
      </c>
      <c r="T311" s="2">
        <v>19707.36</v>
      </c>
      <c r="U311" s="2">
        <v>-68083.210000000006</v>
      </c>
      <c r="V311" s="2">
        <v>3198.94</v>
      </c>
      <c r="W311" s="2">
        <v>-45176.91</v>
      </c>
    </row>
    <row r="312" spans="1:23" ht="15.75" customHeight="1">
      <c r="A312">
        <v>527</v>
      </c>
      <c r="B312" s="1">
        <v>45200</v>
      </c>
      <c r="C312" t="s">
        <v>56</v>
      </c>
      <c r="D312">
        <v>4</v>
      </c>
      <c r="E312" t="s">
        <v>52</v>
      </c>
      <c r="F312">
        <v>10</v>
      </c>
      <c r="G312" t="s">
        <v>40</v>
      </c>
      <c r="H312" t="s">
        <v>36</v>
      </c>
      <c r="I312" t="s">
        <v>38</v>
      </c>
      <c r="J312" t="s">
        <v>32</v>
      </c>
      <c r="K312" s="2">
        <v>40929.08</v>
      </c>
      <c r="L312" s="2">
        <v>21025.8</v>
      </c>
      <c r="M312" s="2">
        <v>19903.28</v>
      </c>
      <c r="N312" s="2">
        <v>3050.52</v>
      </c>
      <c r="O312" s="2">
        <v>16852.759999999998</v>
      </c>
      <c r="P312" s="3">
        <v>41.18</v>
      </c>
      <c r="Q312" s="2">
        <v>2797341.18</v>
      </c>
      <c r="R312" s="2">
        <v>856648.72</v>
      </c>
      <c r="S312" s="2">
        <v>1940692.46</v>
      </c>
      <c r="T312" s="2">
        <v>20835.43</v>
      </c>
      <c r="U312" s="2">
        <v>-35825.120000000003</v>
      </c>
      <c r="V312" s="2">
        <v>-21657.64</v>
      </c>
      <c r="W312" s="2">
        <v>-36647.33</v>
      </c>
    </row>
    <row r="313" spans="1:23" ht="15.75" customHeight="1">
      <c r="A313">
        <v>595</v>
      </c>
      <c r="B313" s="1">
        <v>45205</v>
      </c>
      <c r="C313" t="s">
        <v>56</v>
      </c>
      <c r="D313">
        <v>4</v>
      </c>
      <c r="E313" t="s">
        <v>52</v>
      </c>
      <c r="F313">
        <v>10</v>
      </c>
      <c r="G313" t="s">
        <v>40</v>
      </c>
      <c r="H313" t="s">
        <v>36</v>
      </c>
      <c r="I313" t="s">
        <v>31</v>
      </c>
      <c r="J313" t="s">
        <v>28</v>
      </c>
      <c r="K313" s="2">
        <v>64082.31</v>
      </c>
      <c r="L313" s="2">
        <v>40474.370000000003</v>
      </c>
      <c r="M313" s="2">
        <v>23607.94</v>
      </c>
      <c r="N313" s="2">
        <v>2191.7800000000002</v>
      </c>
      <c r="O313" s="2">
        <v>21416.16</v>
      </c>
      <c r="P313" s="3">
        <v>33.42</v>
      </c>
      <c r="Q313" s="2">
        <v>3280399.94</v>
      </c>
      <c r="R313" s="2">
        <v>1693811.9</v>
      </c>
      <c r="S313" s="2">
        <v>1586588.04</v>
      </c>
      <c r="T313" s="2">
        <v>21710.1</v>
      </c>
      <c r="U313" s="2">
        <v>25442.28</v>
      </c>
      <c r="V313" s="2">
        <v>47416.89</v>
      </c>
      <c r="W313" s="2">
        <v>94569.27</v>
      </c>
    </row>
    <row r="314" spans="1:23" ht="15.75" customHeight="1">
      <c r="A314">
        <v>599</v>
      </c>
      <c r="B314" s="1">
        <v>45208</v>
      </c>
      <c r="C314" t="s">
        <v>56</v>
      </c>
      <c r="D314">
        <v>4</v>
      </c>
      <c r="E314" t="s">
        <v>52</v>
      </c>
      <c r="F314">
        <v>10</v>
      </c>
      <c r="G314" t="s">
        <v>29</v>
      </c>
      <c r="H314" t="s">
        <v>26</v>
      </c>
      <c r="I314" t="s">
        <v>38</v>
      </c>
      <c r="J314" t="s">
        <v>28</v>
      </c>
      <c r="K314" s="2">
        <v>175186.38</v>
      </c>
      <c r="L314" s="2">
        <v>125111.88</v>
      </c>
      <c r="M314" s="2">
        <v>50074.5</v>
      </c>
      <c r="N314" s="2">
        <v>11877.27</v>
      </c>
      <c r="O314" s="2">
        <v>38197.230000000003</v>
      </c>
      <c r="P314" s="3">
        <v>21.8</v>
      </c>
      <c r="Q314" s="2">
        <v>2827093.51</v>
      </c>
      <c r="R314" s="2">
        <v>839154.19</v>
      </c>
      <c r="S314" s="2">
        <v>1987939.32</v>
      </c>
      <c r="T314" s="2">
        <v>50451.45</v>
      </c>
      <c r="U314" s="2">
        <v>-57312.72</v>
      </c>
      <c r="V314" s="2">
        <v>19249.349999999999</v>
      </c>
      <c r="W314" s="2">
        <v>12388.08</v>
      </c>
    </row>
    <row r="315" spans="1:23" ht="15.75" customHeight="1">
      <c r="A315">
        <v>207</v>
      </c>
      <c r="B315" s="1">
        <v>45209</v>
      </c>
      <c r="C315" t="s">
        <v>56</v>
      </c>
      <c r="D315">
        <v>4</v>
      </c>
      <c r="E315" t="s">
        <v>52</v>
      </c>
      <c r="F315">
        <v>10</v>
      </c>
      <c r="G315" t="s">
        <v>43</v>
      </c>
      <c r="H315" t="s">
        <v>26</v>
      </c>
      <c r="I315" t="s">
        <v>27</v>
      </c>
      <c r="J315" t="s">
        <v>41</v>
      </c>
      <c r="K315" s="2">
        <v>57132.9</v>
      </c>
      <c r="L315" s="2">
        <v>42248.85</v>
      </c>
      <c r="M315" s="2">
        <v>14884.05</v>
      </c>
      <c r="N315" s="2">
        <v>3049.42</v>
      </c>
      <c r="O315" s="2">
        <v>11834.63</v>
      </c>
      <c r="P315" s="3">
        <v>20.71</v>
      </c>
      <c r="Q315" s="2">
        <v>1852202.24</v>
      </c>
      <c r="R315" s="2">
        <v>704446.68</v>
      </c>
      <c r="S315" s="2">
        <v>1147755.56</v>
      </c>
      <c r="T315" s="2">
        <v>45236.34</v>
      </c>
      <c r="U315" s="2">
        <v>-23855.45</v>
      </c>
      <c r="V315" s="2">
        <v>33081.800000000003</v>
      </c>
      <c r="W315" s="2">
        <v>54462.69</v>
      </c>
    </row>
    <row r="316" spans="1:23" ht="15.75" customHeight="1">
      <c r="A316">
        <v>561</v>
      </c>
      <c r="B316" s="1">
        <v>45209</v>
      </c>
      <c r="C316" t="s">
        <v>56</v>
      </c>
      <c r="D316">
        <v>4</v>
      </c>
      <c r="E316" t="s">
        <v>52</v>
      </c>
      <c r="F316">
        <v>10</v>
      </c>
      <c r="G316" t="s">
        <v>33</v>
      </c>
      <c r="H316" t="s">
        <v>30</v>
      </c>
      <c r="I316" t="s">
        <v>27</v>
      </c>
      <c r="J316" t="s">
        <v>41</v>
      </c>
      <c r="K316" s="2">
        <v>53587.45</v>
      </c>
      <c r="L316" s="2">
        <v>33978.79</v>
      </c>
      <c r="M316" s="2">
        <v>19608.66</v>
      </c>
      <c r="N316" s="2">
        <v>2488.56</v>
      </c>
      <c r="O316" s="2">
        <v>17120.099999999999</v>
      </c>
      <c r="P316" s="3">
        <v>31.95</v>
      </c>
      <c r="Q316" s="2">
        <v>3789546.57</v>
      </c>
      <c r="R316" s="2">
        <v>1063532.31</v>
      </c>
      <c r="S316" s="2">
        <v>2726014.26</v>
      </c>
      <c r="T316" s="2">
        <v>40242.74</v>
      </c>
      <c r="U316" s="2">
        <v>-46244</v>
      </c>
      <c r="V316" s="2">
        <v>8927.93</v>
      </c>
      <c r="W316" s="2">
        <v>2926.67</v>
      </c>
    </row>
    <row r="317" spans="1:23" ht="15.75" customHeight="1">
      <c r="A317">
        <v>344</v>
      </c>
      <c r="B317" s="1">
        <v>45211</v>
      </c>
      <c r="C317" t="s">
        <v>56</v>
      </c>
      <c r="D317">
        <v>4</v>
      </c>
      <c r="E317" t="s">
        <v>52</v>
      </c>
      <c r="F317">
        <v>10</v>
      </c>
      <c r="G317" t="s">
        <v>37</v>
      </c>
      <c r="H317" t="s">
        <v>34</v>
      </c>
      <c r="I317" t="s">
        <v>35</v>
      </c>
      <c r="J317" t="s">
        <v>39</v>
      </c>
      <c r="K317" s="2">
        <v>41410.519999999997</v>
      </c>
      <c r="L317" s="2">
        <v>24072.44</v>
      </c>
      <c r="M317" s="2">
        <v>17338.080000000002</v>
      </c>
      <c r="N317" s="2">
        <v>2604.86</v>
      </c>
      <c r="O317" s="2">
        <v>14733.22</v>
      </c>
      <c r="P317" s="3">
        <v>35.58</v>
      </c>
      <c r="Q317" s="2">
        <v>3541203.16</v>
      </c>
      <c r="R317" s="2">
        <v>1817571.85</v>
      </c>
      <c r="S317" s="2">
        <v>1723631.31</v>
      </c>
      <c r="T317" s="2">
        <v>-9658.1299999999992</v>
      </c>
      <c r="U317" s="2">
        <v>-30474.07</v>
      </c>
      <c r="V317" s="2">
        <v>-21822.11</v>
      </c>
      <c r="W317" s="2">
        <v>-61954.31</v>
      </c>
    </row>
    <row r="318" spans="1:23" ht="15.75" customHeight="1">
      <c r="A318">
        <v>333</v>
      </c>
      <c r="B318" s="1">
        <v>45213</v>
      </c>
      <c r="C318" t="s">
        <v>56</v>
      </c>
      <c r="D318">
        <v>4</v>
      </c>
      <c r="E318" t="s">
        <v>52</v>
      </c>
      <c r="F318">
        <v>10</v>
      </c>
      <c r="G318" t="s">
        <v>43</v>
      </c>
      <c r="H318" t="s">
        <v>36</v>
      </c>
      <c r="I318" t="s">
        <v>27</v>
      </c>
      <c r="J318" t="s">
        <v>39</v>
      </c>
      <c r="K318" s="2">
        <v>70736.210000000006</v>
      </c>
      <c r="L318" s="2">
        <v>39653.1</v>
      </c>
      <c r="M318" s="2">
        <v>31083.11</v>
      </c>
      <c r="N318" s="2">
        <v>3052.35</v>
      </c>
      <c r="O318" s="2">
        <v>28030.76</v>
      </c>
      <c r="P318" s="3">
        <v>39.630000000000003</v>
      </c>
      <c r="Q318" s="2">
        <v>2480261.21</v>
      </c>
      <c r="R318" s="2">
        <v>1344015.76</v>
      </c>
      <c r="S318" s="2">
        <v>1136245.45</v>
      </c>
      <c r="T318" s="2">
        <v>73248.42</v>
      </c>
      <c r="U318" s="2">
        <v>-9620.2999999999993</v>
      </c>
      <c r="V318" s="2">
        <v>46313.55</v>
      </c>
      <c r="W318" s="2">
        <v>109941.67</v>
      </c>
    </row>
    <row r="319" spans="1:23" ht="15.75" customHeight="1">
      <c r="A319">
        <v>107</v>
      </c>
      <c r="B319" s="1">
        <v>45213</v>
      </c>
      <c r="C319" t="s">
        <v>56</v>
      </c>
      <c r="D319">
        <v>4</v>
      </c>
      <c r="E319" t="s">
        <v>52</v>
      </c>
      <c r="F319">
        <v>10</v>
      </c>
      <c r="G319" t="s">
        <v>29</v>
      </c>
      <c r="H319" t="s">
        <v>30</v>
      </c>
      <c r="I319" t="s">
        <v>35</v>
      </c>
      <c r="J319" t="s">
        <v>39</v>
      </c>
      <c r="K319" s="2">
        <v>177927.67</v>
      </c>
      <c r="L319" s="2">
        <v>143604.34</v>
      </c>
      <c r="M319" s="2">
        <v>34323.33</v>
      </c>
      <c r="N319" s="2">
        <v>2774.69</v>
      </c>
      <c r="O319" s="2">
        <v>31548.639999999999</v>
      </c>
      <c r="P319" s="3">
        <v>17.73</v>
      </c>
      <c r="Q319" s="2">
        <v>4783153.03</v>
      </c>
      <c r="R319" s="2">
        <v>2418591.64</v>
      </c>
      <c r="S319" s="2">
        <v>2364561.39</v>
      </c>
      <c r="T319" s="2">
        <v>70982.100000000006</v>
      </c>
      <c r="U319" s="2">
        <v>-24526.01</v>
      </c>
      <c r="V319" s="2">
        <v>11559.6</v>
      </c>
      <c r="W319" s="2">
        <v>58015.69</v>
      </c>
    </row>
    <row r="320" spans="1:23" ht="15.75" customHeight="1">
      <c r="A320">
        <v>143</v>
      </c>
      <c r="B320" s="1">
        <v>45214</v>
      </c>
      <c r="C320" t="s">
        <v>56</v>
      </c>
      <c r="D320">
        <v>4</v>
      </c>
      <c r="E320" t="s">
        <v>52</v>
      </c>
      <c r="F320">
        <v>10</v>
      </c>
      <c r="G320" t="s">
        <v>43</v>
      </c>
      <c r="H320" t="s">
        <v>30</v>
      </c>
      <c r="I320" t="s">
        <v>35</v>
      </c>
      <c r="J320" t="s">
        <v>37</v>
      </c>
      <c r="K320" s="2">
        <v>140662.12</v>
      </c>
      <c r="L320" s="2">
        <v>97597.45</v>
      </c>
      <c r="M320" s="2">
        <v>43064.67</v>
      </c>
      <c r="N320" s="2">
        <v>9317.57</v>
      </c>
      <c r="O320" s="2">
        <v>33747.1</v>
      </c>
      <c r="P320" s="3">
        <v>23.99</v>
      </c>
      <c r="Q320" s="2">
        <v>974153.9</v>
      </c>
      <c r="R320" s="2">
        <v>257399.07</v>
      </c>
      <c r="S320" s="2">
        <v>716754.83</v>
      </c>
      <c r="T320" s="2">
        <v>44433.440000000002</v>
      </c>
      <c r="U320" s="2">
        <v>-31240.48</v>
      </c>
      <c r="V320" s="2">
        <v>6194.69</v>
      </c>
      <c r="W320" s="2">
        <v>19387.650000000001</v>
      </c>
    </row>
    <row r="321" spans="1:23" ht="15.75" customHeight="1">
      <c r="A321">
        <v>417</v>
      </c>
      <c r="B321" s="1">
        <v>45216</v>
      </c>
      <c r="C321" t="s">
        <v>56</v>
      </c>
      <c r="D321">
        <v>4</v>
      </c>
      <c r="E321" t="s">
        <v>52</v>
      </c>
      <c r="F321">
        <v>10</v>
      </c>
      <c r="G321" t="s">
        <v>29</v>
      </c>
      <c r="H321" t="s">
        <v>30</v>
      </c>
      <c r="I321" t="s">
        <v>31</v>
      </c>
      <c r="J321" t="s">
        <v>41</v>
      </c>
      <c r="K321" s="2">
        <v>74126.11</v>
      </c>
      <c r="L321" s="2">
        <v>55540.15</v>
      </c>
      <c r="M321" s="2">
        <v>18585.96</v>
      </c>
      <c r="N321" s="2">
        <v>4253.08</v>
      </c>
      <c r="O321" s="2">
        <v>14332.88</v>
      </c>
      <c r="P321" s="3">
        <v>19.34</v>
      </c>
      <c r="Q321" s="2">
        <v>1861098.43</v>
      </c>
      <c r="R321" s="2">
        <v>1104523.3</v>
      </c>
      <c r="S321" s="2">
        <v>756575.13</v>
      </c>
      <c r="T321" s="2">
        <v>52911.35</v>
      </c>
      <c r="U321" s="2">
        <v>6465.1</v>
      </c>
      <c r="V321" s="2">
        <v>-25330.49</v>
      </c>
      <c r="W321" s="2">
        <v>34045.96</v>
      </c>
    </row>
    <row r="322" spans="1:23" ht="15.75" customHeight="1">
      <c r="A322">
        <v>186</v>
      </c>
      <c r="B322" s="1">
        <v>45217</v>
      </c>
      <c r="C322" t="s">
        <v>56</v>
      </c>
      <c r="D322">
        <v>4</v>
      </c>
      <c r="E322" t="s">
        <v>52</v>
      </c>
      <c r="F322">
        <v>10</v>
      </c>
      <c r="G322" t="s">
        <v>25</v>
      </c>
      <c r="H322" t="s">
        <v>26</v>
      </c>
      <c r="I322" t="s">
        <v>27</v>
      </c>
      <c r="J322" t="s">
        <v>41</v>
      </c>
      <c r="K322" s="2">
        <v>91523.3</v>
      </c>
      <c r="L322" s="2">
        <v>50253.37</v>
      </c>
      <c r="M322" s="2">
        <v>41269.93</v>
      </c>
      <c r="N322" s="2">
        <v>8838.26</v>
      </c>
      <c r="O322" s="2">
        <v>32431.67</v>
      </c>
      <c r="P322" s="3">
        <v>35.44</v>
      </c>
      <c r="Q322" s="2">
        <v>3080072.06</v>
      </c>
      <c r="R322" s="2">
        <v>1581709.49</v>
      </c>
      <c r="S322" s="2">
        <v>1498362.57</v>
      </c>
      <c r="T322" s="2">
        <v>22616.25</v>
      </c>
      <c r="U322" s="2">
        <v>-47977.47</v>
      </c>
      <c r="V322" s="2">
        <v>8837.4599999999991</v>
      </c>
      <c r="W322" s="2">
        <v>-16523.759999999998</v>
      </c>
    </row>
    <row r="323" spans="1:23" ht="15.75" customHeight="1">
      <c r="A323">
        <v>87</v>
      </c>
      <c r="B323" s="1">
        <v>45218</v>
      </c>
      <c r="C323" t="s">
        <v>56</v>
      </c>
      <c r="D323">
        <v>4</v>
      </c>
      <c r="E323" t="s">
        <v>52</v>
      </c>
      <c r="F323">
        <v>10</v>
      </c>
      <c r="G323" t="s">
        <v>25</v>
      </c>
      <c r="H323" t="s">
        <v>30</v>
      </c>
      <c r="I323" t="s">
        <v>38</v>
      </c>
      <c r="J323" t="s">
        <v>32</v>
      </c>
      <c r="K323" s="2">
        <v>159548.42000000001</v>
      </c>
      <c r="L323" s="2">
        <v>128659.46</v>
      </c>
      <c r="M323" s="2">
        <v>30888.959999999999</v>
      </c>
      <c r="N323" s="2">
        <v>2635.49</v>
      </c>
      <c r="O323" s="2">
        <v>28253.47</v>
      </c>
      <c r="P323" s="3">
        <v>17.71</v>
      </c>
      <c r="Q323" s="2">
        <v>3790715.3</v>
      </c>
      <c r="R323" s="2">
        <v>2326778.2200000002</v>
      </c>
      <c r="S323" s="2">
        <v>1463937.08</v>
      </c>
      <c r="T323" s="2">
        <v>66842.28</v>
      </c>
      <c r="U323" s="2">
        <v>26452.05</v>
      </c>
      <c r="V323" s="2">
        <v>36009.410000000003</v>
      </c>
      <c r="W323" s="2">
        <v>129303.74</v>
      </c>
    </row>
    <row r="324" spans="1:23" ht="15.75" customHeight="1">
      <c r="A324">
        <v>86</v>
      </c>
      <c r="B324" s="1">
        <v>45222</v>
      </c>
      <c r="C324" t="s">
        <v>56</v>
      </c>
      <c r="D324">
        <v>4</v>
      </c>
      <c r="E324" t="s">
        <v>52</v>
      </c>
      <c r="F324">
        <v>10</v>
      </c>
      <c r="G324" t="s">
        <v>43</v>
      </c>
      <c r="H324" t="s">
        <v>36</v>
      </c>
      <c r="I324" t="s">
        <v>38</v>
      </c>
      <c r="J324" t="s">
        <v>28</v>
      </c>
      <c r="K324" s="2">
        <v>171367.06</v>
      </c>
      <c r="L324" s="2">
        <v>83594.850000000006</v>
      </c>
      <c r="M324" s="2">
        <v>87772.21</v>
      </c>
      <c r="N324" s="2">
        <v>19767.68</v>
      </c>
      <c r="O324" s="2">
        <v>68004.53</v>
      </c>
      <c r="P324" s="3">
        <v>39.68</v>
      </c>
      <c r="Q324" s="2">
        <v>2871608.43</v>
      </c>
      <c r="R324" s="2">
        <v>1666590.52</v>
      </c>
      <c r="S324" s="2">
        <v>1205017.9099999999</v>
      </c>
      <c r="T324" s="2">
        <v>61874.48</v>
      </c>
      <c r="U324" s="2">
        <v>13994.72</v>
      </c>
      <c r="V324" s="2">
        <v>37282.28</v>
      </c>
      <c r="W324" s="2">
        <v>113151.48</v>
      </c>
    </row>
    <row r="325" spans="1:23" ht="15.75" customHeight="1">
      <c r="A325">
        <v>167</v>
      </c>
      <c r="B325" s="1">
        <v>45225</v>
      </c>
      <c r="C325" t="s">
        <v>56</v>
      </c>
      <c r="D325">
        <v>4</v>
      </c>
      <c r="E325" t="s">
        <v>52</v>
      </c>
      <c r="F325">
        <v>10</v>
      </c>
      <c r="G325" t="s">
        <v>29</v>
      </c>
      <c r="H325" t="s">
        <v>36</v>
      </c>
      <c r="I325" t="s">
        <v>35</v>
      </c>
      <c r="J325" t="s">
        <v>32</v>
      </c>
      <c r="K325" s="2">
        <v>137036.22</v>
      </c>
      <c r="L325" s="2">
        <v>65097.32</v>
      </c>
      <c r="M325" s="2">
        <v>71938.899999999994</v>
      </c>
      <c r="N325" s="2">
        <v>14411.66</v>
      </c>
      <c r="O325" s="2">
        <v>57527.24</v>
      </c>
      <c r="P325" s="3">
        <v>41.98</v>
      </c>
      <c r="Q325" s="2">
        <v>2945921.98</v>
      </c>
      <c r="R325" s="2">
        <v>832783.09</v>
      </c>
      <c r="S325" s="2">
        <v>2113138.89</v>
      </c>
      <c r="T325" s="2">
        <v>64191.29</v>
      </c>
      <c r="U325" s="2">
        <v>-21530.37</v>
      </c>
      <c r="V325" s="2">
        <v>-23422.55</v>
      </c>
      <c r="W325" s="2">
        <v>19238.37</v>
      </c>
    </row>
    <row r="326" spans="1:23" ht="15.75" customHeight="1">
      <c r="A326">
        <v>176</v>
      </c>
      <c r="B326" s="1">
        <v>45235</v>
      </c>
      <c r="C326" t="s">
        <v>56</v>
      </c>
      <c r="D326">
        <v>4</v>
      </c>
      <c r="E326" t="s">
        <v>53</v>
      </c>
      <c r="F326">
        <v>11</v>
      </c>
      <c r="G326" t="s">
        <v>43</v>
      </c>
      <c r="H326" t="s">
        <v>34</v>
      </c>
      <c r="I326" t="s">
        <v>27</v>
      </c>
      <c r="J326" t="s">
        <v>41</v>
      </c>
      <c r="K326" s="2">
        <v>138381.96</v>
      </c>
      <c r="L326" s="2">
        <v>71867.62</v>
      </c>
      <c r="M326" s="2">
        <v>66514.34</v>
      </c>
      <c r="N326" s="2">
        <v>15024.93</v>
      </c>
      <c r="O326" s="2">
        <v>51489.41</v>
      </c>
      <c r="P326" s="3">
        <v>37.21</v>
      </c>
      <c r="Q326" s="2">
        <v>4185785.81</v>
      </c>
      <c r="R326" s="2">
        <v>1951905.18</v>
      </c>
      <c r="S326" s="2">
        <v>2233880.63</v>
      </c>
      <c r="T326" s="2">
        <v>78308.83</v>
      </c>
      <c r="U326" s="2">
        <v>-38564.99</v>
      </c>
      <c r="V326" s="2">
        <v>7116.79</v>
      </c>
      <c r="W326" s="2">
        <v>46860.63</v>
      </c>
    </row>
    <row r="327" spans="1:23" ht="15.75" customHeight="1">
      <c r="A327">
        <v>8</v>
      </c>
      <c r="B327" s="1">
        <v>45241</v>
      </c>
      <c r="C327" t="s">
        <v>56</v>
      </c>
      <c r="D327">
        <v>4</v>
      </c>
      <c r="E327" t="s">
        <v>53</v>
      </c>
      <c r="F327">
        <v>11</v>
      </c>
      <c r="G327" t="s">
        <v>37</v>
      </c>
      <c r="H327" t="s">
        <v>26</v>
      </c>
      <c r="I327" t="s">
        <v>35</v>
      </c>
      <c r="J327" t="s">
        <v>41</v>
      </c>
      <c r="K327" s="2">
        <v>74493.61</v>
      </c>
      <c r="L327" s="2">
        <v>59708.34</v>
      </c>
      <c r="M327" s="2">
        <v>14785.27</v>
      </c>
      <c r="N327" s="2">
        <v>3572.17</v>
      </c>
      <c r="O327" s="2">
        <v>11213.1</v>
      </c>
      <c r="P327" s="3">
        <v>15.05</v>
      </c>
      <c r="Q327" s="2">
        <v>3080470.5</v>
      </c>
      <c r="R327" s="2">
        <v>1548659.98</v>
      </c>
      <c r="S327" s="2">
        <v>1531810.52</v>
      </c>
      <c r="T327" s="2">
        <v>17088.740000000002</v>
      </c>
      <c r="U327" s="2">
        <v>-40678.92</v>
      </c>
      <c r="V327" s="2">
        <v>-7133.55</v>
      </c>
      <c r="W327" s="2">
        <v>-30723.73</v>
      </c>
    </row>
    <row r="328" spans="1:23" ht="15.75" customHeight="1">
      <c r="A328">
        <v>397</v>
      </c>
      <c r="B328" s="1">
        <v>45242</v>
      </c>
      <c r="C328" t="s">
        <v>56</v>
      </c>
      <c r="D328">
        <v>4</v>
      </c>
      <c r="E328" t="s">
        <v>53</v>
      </c>
      <c r="F328">
        <v>11</v>
      </c>
      <c r="G328" t="s">
        <v>40</v>
      </c>
      <c r="H328" t="s">
        <v>26</v>
      </c>
      <c r="I328" t="s">
        <v>31</v>
      </c>
      <c r="J328" t="s">
        <v>28</v>
      </c>
      <c r="K328" s="2">
        <v>25649.05</v>
      </c>
      <c r="L328" s="2">
        <v>17904.59</v>
      </c>
      <c r="M328" s="2">
        <v>7744.46</v>
      </c>
      <c r="N328" s="2">
        <v>1464.55</v>
      </c>
      <c r="O328" s="2">
        <v>6279.91</v>
      </c>
      <c r="P328" s="3">
        <v>24.48</v>
      </c>
      <c r="Q328" s="2">
        <v>2348549.64</v>
      </c>
      <c r="R328" s="2">
        <v>1047118.78</v>
      </c>
      <c r="S328" s="2">
        <v>1301430.8600000001</v>
      </c>
      <c r="T328" s="2">
        <v>9515.35</v>
      </c>
      <c r="U328" s="2">
        <v>-67599.5</v>
      </c>
      <c r="V328" s="2">
        <v>-6462.84</v>
      </c>
      <c r="W328" s="2">
        <v>-64546.99</v>
      </c>
    </row>
    <row r="329" spans="1:23" ht="15.75" customHeight="1">
      <c r="A329">
        <v>210</v>
      </c>
      <c r="B329" s="1">
        <v>45248</v>
      </c>
      <c r="C329" t="s">
        <v>56</v>
      </c>
      <c r="D329">
        <v>4</v>
      </c>
      <c r="E329" t="s">
        <v>53</v>
      </c>
      <c r="F329">
        <v>11</v>
      </c>
      <c r="G329" t="s">
        <v>25</v>
      </c>
      <c r="H329" t="s">
        <v>36</v>
      </c>
      <c r="I329" t="s">
        <v>38</v>
      </c>
      <c r="J329" t="s">
        <v>29</v>
      </c>
      <c r="K329" s="2">
        <v>101169.82</v>
      </c>
      <c r="L329" s="2">
        <v>65082.98</v>
      </c>
      <c r="M329" s="2">
        <v>36086.839999999997</v>
      </c>
      <c r="N329" s="2">
        <v>6339.05</v>
      </c>
      <c r="O329" s="2">
        <v>29747.79</v>
      </c>
      <c r="P329" s="3">
        <v>29.4</v>
      </c>
      <c r="Q329" s="2">
        <v>2485506.71</v>
      </c>
      <c r="R329" s="2">
        <v>1223620.23</v>
      </c>
      <c r="S329" s="2">
        <v>1261886.48</v>
      </c>
      <c r="T329" s="2">
        <v>73246.570000000007</v>
      </c>
      <c r="U329" s="2">
        <v>-33773.19</v>
      </c>
      <c r="V329" s="2">
        <v>32571.65</v>
      </c>
      <c r="W329" s="2">
        <v>72045.03</v>
      </c>
    </row>
    <row r="330" spans="1:23" ht="15.75" customHeight="1">
      <c r="A330">
        <v>145</v>
      </c>
      <c r="B330" s="1">
        <v>45248</v>
      </c>
      <c r="C330" t="s">
        <v>56</v>
      </c>
      <c r="D330">
        <v>4</v>
      </c>
      <c r="E330" t="s">
        <v>53</v>
      </c>
      <c r="F330">
        <v>11</v>
      </c>
      <c r="G330" t="s">
        <v>29</v>
      </c>
      <c r="H330" t="s">
        <v>36</v>
      </c>
      <c r="I330" t="s">
        <v>27</v>
      </c>
      <c r="J330" t="s">
        <v>44</v>
      </c>
      <c r="K330" s="2">
        <v>176278.58</v>
      </c>
      <c r="L330" s="2">
        <v>122852.01</v>
      </c>
      <c r="M330" s="2">
        <v>53426.57</v>
      </c>
      <c r="N330" s="2">
        <v>4368.84</v>
      </c>
      <c r="O330" s="2">
        <v>49057.73</v>
      </c>
      <c r="P330" s="3">
        <v>27.83</v>
      </c>
      <c r="Q330" s="2">
        <v>1649360.68</v>
      </c>
      <c r="R330" s="2">
        <v>584344.28</v>
      </c>
      <c r="S330" s="2">
        <v>1065016.3999999999</v>
      </c>
      <c r="T330" s="2">
        <v>24598.07</v>
      </c>
      <c r="U330" s="2">
        <v>25982.65</v>
      </c>
      <c r="V330" s="2">
        <v>7825.53</v>
      </c>
      <c r="W330" s="2">
        <v>58406.25</v>
      </c>
    </row>
    <row r="331" spans="1:23" ht="15.75" customHeight="1">
      <c r="A331">
        <v>391</v>
      </c>
      <c r="B331" s="1">
        <v>45253</v>
      </c>
      <c r="C331" t="s">
        <v>56</v>
      </c>
      <c r="D331">
        <v>4</v>
      </c>
      <c r="E331" t="s">
        <v>53</v>
      </c>
      <c r="F331">
        <v>11</v>
      </c>
      <c r="G331" t="s">
        <v>43</v>
      </c>
      <c r="H331" t="s">
        <v>30</v>
      </c>
      <c r="I331" t="s">
        <v>38</v>
      </c>
      <c r="J331" t="s">
        <v>32</v>
      </c>
      <c r="K331" s="2">
        <v>58817.02</v>
      </c>
      <c r="L331" s="2">
        <v>46823.64</v>
      </c>
      <c r="M331" s="2">
        <v>11993.38</v>
      </c>
      <c r="N331" s="2">
        <v>1909.82</v>
      </c>
      <c r="O331" s="2">
        <v>10083.56</v>
      </c>
      <c r="P331" s="3">
        <v>17.14</v>
      </c>
      <c r="Q331" s="2">
        <v>2504239.37</v>
      </c>
      <c r="R331" s="2">
        <v>640651.69999999995</v>
      </c>
      <c r="S331" s="2">
        <v>1863587.67</v>
      </c>
      <c r="T331" s="2">
        <v>-124.46</v>
      </c>
      <c r="U331" s="2">
        <v>16629.240000000002</v>
      </c>
      <c r="V331" s="2">
        <v>-23537.16</v>
      </c>
      <c r="W331" s="2">
        <v>-7032.38</v>
      </c>
    </row>
    <row r="332" spans="1:23" ht="15.75" customHeight="1">
      <c r="A332">
        <v>150</v>
      </c>
      <c r="B332" s="1">
        <v>45253</v>
      </c>
      <c r="C332" t="s">
        <v>56</v>
      </c>
      <c r="D332">
        <v>4</v>
      </c>
      <c r="E332" t="s">
        <v>53</v>
      </c>
      <c r="F332">
        <v>11</v>
      </c>
      <c r="G332" t="s">
        <v>40</v>
      </c>
      <c r="H332" t="s">
        <v>30</v>
      </c>
      <c r="I332" t="s">
        <v>38</v>
      </c>
      <c r="J332" t="s">
        <v>41</v>
      </c>
      <c r="K332" s="2">
        <v>174595.11</v>
      </c>
      <c r="L332" s="2">
        <v>110118.15</v>
      </c>
      <c r="M332" s="2">
        <v>64476.959999999999</v>
      </c>
      <c r="N332" s="2">
        <v>6809.73</v>
      </c>
      <c r="O332" s="2">
        <v>57667.23</v>
      </c>
      <c r="P332" s="3">
        <v>33.03</v>
      </c>
      <c r="Q332" s="2">
        <v>2040726.36</v>
      </c>
      <c r="R332" s="2">
        <v>847649.53</v>
      </c>
      <c r="S332" s="2">
        <v>1193076.83</v>
      </c>
      <c r="T332" s="2">
        <v>88322.03</v>
      </c>
      <c r="U332" s="2">
        <v>4342.38</v>
      </c>
      <c r="V332" s="2">
        <v>21194.05</v>
      </c>
      <c r="W332" s="2">
        <v>113858.46</v>
      </c>
    </row>
    <row r="333" spans="1:23" ht="15.75" customHeight="1">
      <c r="A333">
        <v>196</v>
      </c>
      <c r="B333" s="1">
        <v>45256</v>
      </c>
      <c r="C333" t="s">
        <v>56</v>
      </c>
      <c r="D333">
        <v>4</v>
      </c>
      <c r="E333" t="s">
        <v>53</v>
      </c>
      <c r="F333">
        <v>11</v>
      </c>
      <c r="G333" t="s">
        <v>43</v>
      </c>
      <c r="H333" t="s">
        <v>30</v>
      </c>
      <c r="I333" t="s">
        <v>35</v>
      </c>
      <c r="J333" t="s">
        <v>39</v>
      </c>
      <c r="K333" s="2">
        <v>88964.68</v>
      </c>
      <c r="L333" s="2">
        <v>61301.61</v>
      </c>
      <c r="M333" s="2">
        <v>27663.07</v>
      </c>
      <c r="N333" s="2">
        <v>5253.12</v>
      </c>
      <c r="O333" s="2">
        <v>22409.95</v>
      </c>
      <c r="P333" s="3">
        <v>25.19</v>
      </c>
      <c r="Q333" s="2">
        <v>4496175.79</v>
      </c>
      <c r="R333" s="2">
        <v>2200774.46</v>
      </c>
      <c r="S333" s="2">
        <v>2295401.33</v>
      </c>
      <c r="T333" s="2">
        <v>32582.240000000002</v>
      </c>
      <c r="U333" s="2">
        <v>-56112.87</v>
      </c>
      <c r="V333" s="2">
        <v>-28426.240000000002</v>
      </c>
      <c r="W333" s="2">
        <v>-51956.87</v>
      </c>
    </row>
    <row r="334" spans="1:23" ht="15.75" customHeight="1">
      <c r="A334">
        <v>342</v>
      </c>
      <c r="B334" s="1">
        <v>45257</v>
      </c>
      <c r="C334" t="s">
        <v>56</v>
      </c>
      <c r="D334">
        <v>4</v>
      </c>
      <c r="E334" t="s">
        <v>53</v>
      </c>
      <c r="F334">
        <v>11</v>
      </c>
      <c r="G334" t="s">
        <v>37</v>
      </c>
      <c r="H334" t="s">
        <v>30</v>
      </c>
      <c r="I334" t="s">
        <v>38</v>
      </c>
      <c r="J334" t="s">
        <v>37</v>
      </c>
      <c r="K334" s="2">
        <v>49988.92</v>
      </c>
      <c r="L334" s="2">
        <v>34635.9</v>
      </c>
      <c r="M334" s="2">
        <v>15353.02</v>
      </c>
      <c r="N334" s="2">
        <v>3762.96</v>
      </c>
      <c r="O334" s="2">
        <v>11590.06</v>
      </c>
      <c r="P334" s="3">
        <v>23.19</v>
      </c>
      <c r="Q334" s="2">
        <v>3029849.65</v>
      </c>
      <c r="R334" s="2">
        <v>1623700.4</v>
      </c>
      <c r="S334" s="2">
        <v>1406149.25</v>
      </c>
      <c r="T334" s="2">
        <v>-12933.9</v>
      </c>
      <c r="U334" s="2">
        <v>-28233.3</v>
      </c>
      <c r="V334" s="2">
        <v>-28364.15</v>
      </c>
      <c r="W334" s="2">
        <v>-69531.350000000006</v>
      </c>
    </row>
    <row r="335" spans="1:23" ht="15.75" customHeight="1">
      <c r="A335">
        <v>435</v>
      </c>
      <c r="B335" s="1">
        <v>45257</v>
      </c>
      <c r="C335" t="s">
        <v>56</v>
      </c>
      <c r="D335">
        <v>4</v>
      </c>
      <c r="E335" t="s">
        <v>53</v>
      </c>
      <c r="F335">
        <v>11</v>
      </c>
      <c r="G335" t="s">
        <v>25</v>
      </c>
      <c r="H335" t="s">
        <v>26</v>
      </c>
      <c r="I335" t="s">
        <v>35</v>
      </c>
      <c r="J335" t="s">
        <v>44</v>
      </c>
      <c r="K335" s="2">
        <v>75573.73</v>
      </c>
      <c r="L335" s="2">
        <v>34588.620000000003</v>
      </c>
      <c r="M335" s="2">
        <v>40985.11</v>
      </c>
      <c r="N335" s="2">
        <v>8580.26</v>
      </c>
      <c r="O335" s="2">
        <v>32404.85</v>
      </c>
      <c r="P335" s="3">
        <v>42.88</v>
      </c>
      <c r="Q335" s="2">
        <v>692328.23</v>
      </c>
      <c r="R335" s="2">
        <v>412531.35</v>
      </c>
      <c r="S335" s="2">
        <v>279796.88</v>
      </c>
      <c r="T335" s="2">
        <v>11897.7</v>
      </c>
      <c r="U335" s="2">
        <v>-52812.35</v>
      </c>
      <c r="V335" s="2">
        <v>7652.65</v>
      </c>
      <c r="W335" s="2">
        <v>-33262</v>
      </c>
    </row>
    <row r="336" spans="1:23" ht="15.75" customHeight="1">
      <c r="A336">
        <v>476</v>
      </c>
      <c r="B336" s="1">
        <v>45259</v>
      </c>
      <c r="C336" t="s">
        <v>56</v>
      </c>
      <c r="D336">
        <v>4</v>
      </c>
      <c r="E336" t="s">
        <v>53</v>
      </c>
      <c r="F336">
        <v>11</v>
      </c>
      <c r="G336" t="s">
        <v>40</v>
      </c>
      <c r="H336" t="s">
        <v>30</v>
      </c>
      <c r="I336" t="s">
        <v>31</v>
      </c>
      <c r="J336" t="s">
        <v>32</v>
      </c>
      <c r="K336" s="2">
        <v>60709.93</v>
      </c>
      <c r="L336" s="2">
        <v>33816.660000000003</v>
      </c>
      <c r="M336" s="2">
        <v>26893.27</v>
      </c>
      <c r="N336" s="2">
        <v>3840.1</v>
      </c>
      <c r="O336" s="2">
        <v>23053.17</v>
      </c>
      <c r="P336" s="3">
        <v>37.97</v>
      </c>
      <c r="Q336" s="2">
        <v>3486842.32</v>
      </c>
      <c r="R336" s="2">
        <v>1036622.03</v>
      </c>
      <c r="S336" s="2">
        <v>2450220.29</v>
      </c>
      <c r="T336" s="2">
        <v>69368.789999999994</v>
      </c>
      <c r="U336" s="2">
        <v>16557.12</v>
      </c>
      <c r="V336" s="2">
        <v>17721.61</v>
      </c>
      <c r="W336" s="2">
        <v>103647.52</v>
      </c>
    </row>
    <row r="337" spans="1:23" ht="15.75" customHeight="1">
      <c r="A337">
        <v>122</v>
      </c>
      <c r="B337" s="1">
        <v>45261</v>
      </c>
      <c r="C337" t="s">
        <v>56</v>
      </c>
      <c r="D337">
        <v>4</v>
      </c>
      <c r="E337" t="s">
        <v>54</v>
      </c>
      <c r="F337">
        <v>12</v>
      </c>
      <c r="G337" t="s">
        <v>33</v>
      </c>
      <c r="H337" t="s">
        <v>26</v>
      </c>
      <c r="I337" t="s">
        <v>38</v>
      </c>
      <c r="J337" t="s">
        <v>37</v>
      </c>
      <c r="K337" s="2">
        <v>122962.4</v>
      </c>
      <c r="L337" s="2">
        <v>57992.54</v>
      </c>
      <c r="M337" s="2">
        <v>64969.86</v>
      </c>
      <c r="N337" s="2">
        <v>6763.47</v>
      </c>
      <c r="O337" s="2">
        <v>58206.39</v>
      </c>
      <c r="P337" s="3">
        <v>47.34</v>
      </c>
      <c r="Q337" s="2">
        <v>1735431.14</v>
      </c>
      <c r="R337" s="2">
        <v>848311.31</v>
      </c>
      <c r="S337" s="2">
        <v>887119.83</v>
      </c>
      <c r="T337" s="2">
        <v>82273.69</v>
      </c>
      <c r="U337" s="2">
        <v>-25728.3</v>
      </c>
      <c r="V337" s="2">
        <v>4579.09</v>
      </c>
      <c r="W337" s="2">
        <v>61124.480000000003</v>
      </c>
    </row>
    <row r="338" spans="1:23" ht="15.75" customHeight="1">
      <c r="A338">
        <v>430</v>
      </c>
      <c r="B338" s="1">
        <v>45266</v>
      </c>
      <c r="C338" t="s">
        <v>56</v>
      </c>
      <c r="D338">
        <v>4</v>
      </c>
      <c r="E338" t="s">
        <v>54</v>
      </c>
      <c r="F338">
        <v>12</v>
      </c>
      <c r="G338" t="s">
        <v>29</v>
      </c>
      <c r="H338" t="s">
        <v>34</v>
      </c>
      <c r="I338" t="s">
        <v>38</v>
      </c>
      <c r="J338" t="s">
        <v>37</v>
      </c>
      <c r="K338" s="2">
        <v>77892.89</v>
      </c>
      <c r="L338" s="2">
        <v>47853.33</v>
      </c>
      <c r="M338" s="2">
        <v>30039.56</v>
      </c>
      <c r="N338" s="2">
        <v>5853.2</v>
      </c>
      <c r="O338" s="2">
        <v>24186.36</v>
      </c>
      <c r="P338" s="3">
        <v>31.05</v>
      </c>
      <c r="Q338" s="2">
        <v>2790023.32</v>
      </c>
      <c r="R338" s="2">
        <v>1658887.25</v>
      </c>
      <c r="S338" s="2">
        <v>1131136.07</v>
      </c>
      <c r="T338" s="2">
        <v>63469.21</v>
      </c>
      <c r="U338" s="2">
        <v>-69008.929999999993</v>
      </c>
      <c r="V338" s="2">
        <v>37804.629999999997</v>
      </c>
      <c r="W338" s="2">
        <v>32264.91</v>
      </c>
    </row>
    <row r="339" spans="1:23" ht="15.75" customHeight="1">
      <c r="A339">
        <v>594</v>
      </c>
      <c r="B339" s="1">
        <v>45267</v>
      </c>
      <c r="C339" t="s">
        <v>56</v>
      </c>
      <c r="D339">
        <v>4</v>
      </c>
      <c r="E339" t="s">
        <v>54</v>
      </c>
      <c r="F339">
        <v>12</v>
      </c>
      <c r="G339" t="s">
        <v>43</v>
      </c>
      <c r="H339" t="s">
        <v>36</v>
      </c>
      <c r="I339" t="s">
        <v>38</v>
      </c>
      <c r="J339" t="s">
        <v>28</v>
      </c>
      <c r="K339" s="2">
        <v>46282.02</v>
      </c>
      <c r="L339" s="2">
        <v>26586.61</v>
      </c>
      <c r="M339" s="2">
        <v>19695.41</v>
      </c>
      <c r="N339" s="2">
        <v>3540.19</v>
      </c>
      <c r="O339" s="2">
        <v>16155.22</v>
      </c>
      <c r="P339" s="3">
        <v>34.909999999999997</v>
      </c>
      <c r="Q339" s="2">
        <v>963072.9</v>
      </c>
      <c r="R339" s="2">
        <v>522035.66</v>
      </c>
      <c r="S339" s="2">
        <v>441037.24</v>
      </c>
      <c r="T339" s="2">
        <v>17134.900000000001</v>
      </c>
      <c r="U339" s="2">
        <v>8440.57</v>
      </c>
      <c r="V339" s="2">
        <v>9289.6299999999992</v>
      </c>
      <c r="W339" s="2">
        <v>34865.1</v>
      </c>
    </row>
    <row r="340" spans="1:23" ht="15.75" customHeight="1">
      <c r="A340">
        <v>151</v>
      </c>
      <c r="B340" s="1">
        <v>45268</v>
      </c>
      <c r="C340" t="s">
        <v>56</v>
      </c>
      <c r="D340">
        <v>4</v>
      </c>
      <c r="E340" t="s">
        <v>54</v>
      </c>
      <c r="F340">
        <v>12</v>
      </c>
      <c r="G340" t="s">
        <v>37</v>
      </c>
      <c r="H340" t="s">
        <v>26</v>
      </c>
      <c r="I340" t="s">
        <v>35</v>
      </c>
      <c r="J340" t="s">
        <v>28</v>
      </c>
      <c r="K340" s="2">
        <v>39532.32</v>
      </c>
      <c r="L340" s="2">
        <v>26231.83</v>
      </c>
      <c r="M340" s="2">
        <v>13300.49</v>
      </c>
      <c r="N340" s="2">
        <v>3047.32</v>
      </c>
      <c r="O340" s="2">
        <v>10253.17</v>
      </c>
      <c r="P340" s="3">
        <v>25.94</v>
      </c>
      <c r="Q340" s="2">
        <v>2452102.31</v>
      </c>
      <c r="R340" s="2">
        <v>770792.05</v>
      </c>
      <c r="S340" s="2">
        <v>1681310.26</v>
      </c>
      <c r="T340" s="2">
        <v>24896.560000000001</v>
      </c>
      <c r="U340" s="2">
        <v>11175.22</v>
      </c>
      <c r="V340" s="2">
        <v>34171.21</v>
      </c>
      <c r="W340" s="2">
        <v>70242.990000000005</v>
      </c>
    </row>
    <row r="341" spans="1:23" ht="15.75" customHeight="1">
      <c r="A341">
        <v>423</v>
      </c>
      <c r="B341" s="1">
        <v>45269</v>
      </c>
      <c r="C341" t="s">
        <v>56</v>
      </c>
      <c r="D341">
        <v>4</v>
      </c>
      <c r="E341" t="s">
        <v>54</v>
      </c>
      <c r="F341">
        <v>12</v>
      </c>
      <c r="G341" t="s">
        <v>25</v>
      </c>
      <c r="H341" t="s">
        <v>34</v>
      </c>
      <c r="I341" t="s">
        <v>35</v>
      </c>
      <c r="J341" t="s">
        <v>39</v>
      </c>
      <c r="K341" s="2">
        <v>35991.97</v>
      </c>
      <c r="L341" s="2">
        <v>20854.63</v>
      </c>
      <c r="M341" s="2">
        <v>15137.34</v>
      </c>
      <c r="N341" s="2">
        <v>3430.49</v>
      </c>
      <c r="O341" s="2">
        <v>11706.85</v>
      </c>
      <c r="P341" s="3">
        <v>32.53</v>
      </c>
      <c r="Q341" s="2">
        <v>1548827.65</v>
      </c>
      <c r="R341" s="2">
        <v>817897.14</v>
      </c>
      <c r="S341" s="2">
        <v>730930.51</v>
      </c>
      <c r="T341" s="2">
        <v>32077.119999999999</v>
      </c>
      <c r="U341" s="2">
        <v>16348.46</v>
      </c>
      <c r="V341" s="2">
        <v>-26771.21</v>
      </c>
      <c r="W341" s="2">
        <v>21654.37</v>
      </c>
    </row>
    <row r="342" spans="1:23" ht="15.75" customHeight="1">
      <c r="A342">
        <v>274</v>
      </c>
      <c r="B342" s="1">
        <v>45273</v>
      </c>
      <c r="C342" t="s">
        <v>56</v>
      </c>
      <c r="D342">
        <v>4</v>
      </c>
      <c r="E342" t="s">
        <v>54</v>
      </c>
      <c r="F342">
        <v>12</v>
      </c>
      <c r="G342" t="s">
        <v>29</v>
      </c>
      <c r="H342" t="s">
        <v>34</v>
      </c>
      <c r="I342" t="s">
        <v>38</v>
      </c>
      <c r="J342" t="s">
        <v>41</v>
      </c>
      <c r="K342" s="2">
        <v>144465.09</v>
      </c>
      <c r="L342" s="2">
        <v>87859.82</v>
      </c>
      <c r="M342" s="2">
        <v>56605.27</v>
      </c>
      <c r="N342" s="2">
        <v>6512.83</v>
      </c>
      <c r="O342" s="2">
        <v>50092.44</v>
      </c>
      <c r="P342" s="3">
        <v>34.67</v>
      </c>
      <c r="Q342" s="2">
        <v>4098734.44</v>
      </c>
      <c r="R342" s="2">
        <v>1571629.86</v>
      </c>
      <c r="S342" s="2">
        <v>2527104.58</v>
      </c>
      <c r="T342" s="2">
        <v>89307.91</v>
      </c>
      <c r="U342" s="2">
        <v>21525.72</v>
      </c>
      <c r="V342" s="2">
        <v>45982.38</v>
      </c>
      <c r="W342" s="2">
        <v>156816.01</v>
      </c>
    </row>
    <row r="343" spans="1:23" ht="15.75" customHeight="1">
      <c r="A343">
        <v>525</v>
      </c>
      <c r="B343" s="1">
        <v>45273</v>
      </c>
      <c r="C343" t="s">
        <v>56</v>
      </c>
      <c r="D343">
        <v>4</v>
      </c>
      <c r="E343" t="s">
        <v>54</v>
      </c>
      <c r="F343">
        <v>12</v>
      </c>
      <c r="G343" t="s">
        <v>37</v>
      </c>
      <c r="H343" t="s">
        <v>26</v>
      </c>
      <c r="I343" t="s">
        <v>35</v>
      </c>
      <c r="J343" t="s">
        <v>41</v>
      </c>
      <c r="K343" s="2">
        <v>72078.929999999993</v>
      </c>
      <c r="L343" s="2">
        <v>34916.22</v>
      </c>
      <c r="M343" s="2">
        <v>37162.71</v>
      </c>
      <c r="N343" s="2">
        <v>3881.93</v>
      </c>
      <c r="O343" s="2">
        <v>33280.78</v>
      </c>
      <c r="P343" s="3">
        <v>46.17</v>
      </c>
      <c r="Q343" s="2">
        <v>970971.98</v>
      </c>
      <c r="R343" s="2">
        <v>407009.53</v>
      </c>
      <c r="S343" s="2">
        <v>563962.44999999995</v>
      </c>
      <c r="T343" s="2">
        <v>66927.05</v>
      </c>
      <c r="U343" s="2">
        <v>-55861.64</v>
      </c>
      <c r="V343" s="2">
        <v>-26967.96</v>
      </c>
      <c r="W343" s="2">
        <v>-15902.55</v>
      </c>
    </row>
    <row r="344" spans="1:23" ht="15.75" customHeight="1">
      <c r="A344">
        <v>115</v>
      </c>
      <c r="B344" s="1">
        <v>45273</v>
      </c>
      <c r="C344" t="s">
        <v>56</v>
      </c>
      <c r="D344">
        <v>4</v>
      </c>
      <c r="E344" t="s">
        <v>54</v>
      </c>
      <c r="F344">
        <v>12</v>
      </c>
      <c r="G344" t="s">
        <v>25</v>
      </c>
      <c r="H344" t="s">
        <v>34</v>
      </c>
      <c r="I344" t="s">
        <v>38</v>
      </c>
      <c r="J344" t="s">
        <v>32</v>
      </c>
      <c r="K344" s="2">
        <v>107708.39</v>
      </c>
      <c r="L344" s="2">
        <v>72695.070000000007</v>
      </c>
      <c r="M344" s="2">
        <v>35013.32</v>
      </c>
      <c r="N344" s="2">
        <v>7353.85</v>
      </c>
      <c r="O344" s="2">
        <v>27659.47</v>
      </c>
      <c r="P344" s="3">
        <v>25.68</v>
      </c>
      <c r="Q344" s="2">
        <v>4158435.82</v>
      </c>
      <c r="R344" s="2">
        <v>2234116.44</v>
      </c>
      <c r="S344" s="2">
        <v>1924319.38</v>
      </c>
      <c r="T344" s="2">
        <v>74101.37</v>
      </c>
      <c r="U344" s="2">
        <v>-68176.740000000005</v>
      </c>
      <c r="V344" s="2">
        <v>-20422.2</v>
      </c>
      <c r="W344" s="2">
        <v>-14497.57</v>
      </c>
    </row>
    <row r="345" spans="1:23" ht="15.75" customHeight="1">
      <c r="A345">
        <v>519</v>
      </c>
      <c r="B345" s="1">
        <v>45274</v>
      </c>
      <c r="C345" t="s">
        <v>56</v>
      </c>
      <c r="D345">
        <v>4</v>
      </c>
      <c r="E345" t="s">
        <v>54</v>
      </c>
      <c r="F345">
        <v>12</v>
      </c>
      <c r="G345" t="s">
        <v>25</v>
      </c>
      <c r="H345" t="s">
        <v>36</v>
      </c>
      <c r="I345" t="s">
        <v>31</v>
      </c>
      <c r="J345" t="s">
        <v>29</v>
      </c>
      <c r="K345" s="2">
        <v>142682.04</v>
      </c>
      <c r="L345" s="2">
        <v>96924.87</v>
      </c>
      <c r="M345" s="2">
        <v>45757.17</v>
      </c>
      <c r="N345" s="2">
        <v>4262.74</v>
      </c>
      <c r="O345" s="2">
        <v>41494.43</v>
      </c>
      <c r="P345" s="3">
        <v>29.08</v>
      </c>
      <c r="Q345" s="2">
        <v>2807759.13</v>
      </c>
      <c r="R345" s="2">
        <v>1087502.3500000001</v>
      </c>
      <c r="S345" s="2">
        <v>1720256.78</v>
      </c>
      <c r="T345" s="2">
        <v>37780.080000000002</v>
      </c>
      <c r="U345" s="2">
        <v>-9774.3700000000008</v>
      </c>
      <c r="V345" s="2">
        <v>-7767.52</v>
      </c>
      <c r="W345" s="2">
        <v>20238.189999999999</v>
      </c>
    </row>
    <row r="346" spans="1:23" ht="15.75" customHeight="1">
      <c r="A346">
        <v>563</v>
      </c>
      <c r="B346" s="1">
        <v>45278</v>
      </c>
      <c r="C346" t="s">
        <v>56</v>
      </c>
      <c r="D346">
        <v>4</v>
      </c>
      <c r="E346" t="s">
        <v>54</v>
      </c>
      <c r="F346">
        <v>12</v>
      </c>
      <c r="G346" t="s">
        <v>43</v>
      </c>
      <c r="H346" t="s">
        <v>36</v>
      </c>
      <c r="I346" t="s">
        <v>31</v>
      </c>
      <c r="J346" t="s">
        <v>29</v>
      </c>
      <c r="K346" s="2">
        <v>66466.69</v>
      </c>
      <c r="L346" s="2">
        <v>42678.7</v>
      </c>
      <c r="M346" s="2">
        <v>23787.99</v>
      </c>
      <c r="N346" s="2">
        <v>2850.82</v>
      </c>
      <c r="O346" s="2">
        <v>20937.169999999998</v>
      </c>
      <c r="P346" s="3">
        <v>31.5</v>
      </c>
      <c r="Q346" s="2">
        <v>1056049.19</v>
      </c>
      <c r="R346" s="2">
        <v>316261.75</v>
      </c>
      <c r="S346" s="2">
        <v>739787.44</v>
      </c>
      <c r="T346" s="2">
        <v>37599.269999999997</v>
      </c>
      <c r="U346" s="2">
        <v>3475.93</v>
      </c>
      <c r="V346" s="2">
        <v>-7846.7</v>
      </c>
      <c r="W346" s="2">
        <v>33228.5</v>
      </c>
    </row>
    <row r="347" spans="1:23" ht="15.75" customHeight="1">
      <c r="A347">
        <v>553</v>
      </c>
      <c r="B347" s="1">
        <v>45278</v>
      </c>
      <c r="C347" t="s">
        <v>56</v>
      </c>
      <c r="D347">
        <v>4</v>
      </c>
      <c r="E347" t="s">
        <v>54</v>
      </c>
      <c r="F347">
        <v>12</v>
      </c>
      <c r="G347" t="s">
        <v>40</v>
      </c>
      <c r="H347" t="s">
        <v>30</v>
      </c>
      <c r="I347" t="s">
        <v>35</v>
      </c>
      <c r="J347" t="s">
        <v>41</v>
      </c>
      <c r="K347" s="2">
        <v>160221.16</v>
      </c>
      <c r="L347" s="2">
        <v>108446.17</v>
      </c>
      <c r="M347" s="2">
        <v>51774.99</v>
      </c>
      <c r="N347" s="2">
        <v>5525.67</v>
      </c>
      <c r="O347" s="2">
        <v>46249.32</v>
      </c>
      <c r="P347" s="3">
        <v>28.87</v>
      </c>
      <c r="Q347" s="2">
        <v>4830521.26</v>
      </c>
      <c r="R347" s="2">
        <v>2209220.4700000002</v>
      </c>
      <c r="S347" s="2">
        <v>2621300.79</v>
      </c>
      <c r="T347" s="2">
        <v>22081.200000000001</v>
      </c>
      <c r="U347" s="2">
        <v>-7316.71</v>
      </c>
      <c r="V347" s="2">
        <v>-14680.11</v>
      </c>
      <c r="W347" s="2">
        <v>84.38</v>
      </c>
    </row>
    <row r="348" spans="1:23" ht="15.75" customHeight="1">
      <c r="A348">
        <v>41</v>
      </c>
      <c r="B348" s="1">
        <v>45279</v>
      </c>
      <c r="C348" t="s">
        <v>56</v>
      </c>
      <c r="D348">
        <v>4</v>
      </c>
      <c r="E348" t="s">
        <v>54</v>
      </c>
      <c r="F348">
        <v>12</v>
      </c>
      <c r="G348" t="s">
        <v>40</v>
      </c>
      <c r="H348" t="s">
        <v>30</v>
      </c>
      <c r="I348" t="s">
        <v>38</v>
      </c>
      <c r="J348" t="s">
        <v>44</v>
      </c>
      <c r="K348" s="2">
        <v>109141.64</v>
      </c>
      <c r="L348" s="2">
        <v>66539.88</v>
      </c>
      <c r="M348" s="2">
        <v>42601.760000000002</v>
      </c>
      <c r="N348" s="2">
        <v>5818.49</v>
      </c>
      <c r="O348" s="2">
        <v>36783.269999999997</v>
      </c>
      <c r="P348" s="3">
        <v>33.700000000000003</v>
      </c>
      <c r="Q348" s="2">
        <v>3787471.12</v>
      </c>
      <c r="R348" s="2">
        <v>1997841.94</v>
      </c>
      <c r="S348" s="2">
        <v>1789629.18</v>
      </c>
      <c r="T348" s="2">
        <v>20121.73</v>
      </c>
      <c r="U348" s="2">
        <v>17862.91</v>
      </c>
      <c r="V348" s="2">
        <v>9542.36</v>
      </c>
      <c r="W348" s="2">
        <v>47527</v>
      </c>
    </row>
    <row r="349" spans="1:23" ht="15.75" customHeight="1">
      <c r="A349">
        <v>131</v>
      </c>
      <c r="B349" s="1">
        <v>45283</v>
      </c>
      <c r="C349" t="s">
        <v>56</v>
      </c>
      <c r="D349">
        <v>4</v>
      </c>
      <c r="E349" t="s">
        <v>54</v>
      </c>
      <c r="F349">
        <v>12</v>
      </c>
      <c r="G349" t="s">
        <v>40</v>
      </c>
      <c r="H349" t="s">
        <v>34</v>
      </c>
      <c r="I349" t="s">
        <v>31</v>
      </c>
      <c r="J349" t="s">
        <v>29</v>
      </c>
      <c r="K349" s="2">
        <v>136820.42000000001</v>
      </c>
      <c r="L349" s="2">
        <v>68721.19</v>
      </c>
      <c r="M349" s="2">
        <v>68099.23</v>
      </c>
      <c r="N349" s="2">
        <v>7902.03</v>
      </c>
      <c r="O349" s="2">
        <v>60197.2</v>
      </c>
      <c r="P349" s="3">
        <v>44</v>
      </c>
      <c r="Q349" s="2">
        <v>4184307.52</v>
      </c>
      <c r="R349" s="2">
        <v>1585899.38</v>
      </c>
      <c r="S349" s="2">
        <v>2598408.14</v>
      </c>
      <c r="T349" s="2">
        <v>32028.71</v>
      </c>
      <c r="U349" s="2">
        <v>-54620.89</v>
      </c>
      <c r="V349" s="2">
        <v>-17638.560000000001</v>
      </c>
      <c r="W349" s="2">
        <v>-40230.74</v>
      </c>
    </row>
    <row r="350" spans="1:23" ht="15.75" customHeight="1">
      <c r="A350">
        <v>593</v>
      </c>
      <c r="B350" s="1">
        <v>45289</v>
      </c>
      <c r="C350" t="s">
        <v>56</v>
      </c>
      <c r="D350">
        <v>4</v>
      </c>
      <c r="E350" t="s">
        <v>54</v>
      </c>
      <c r="F350">
        <v>12</v>
      </c>
      <c r="G350" t="s">
        <v>40</v>
      </c>
      <c r="H350" t="s">
        <v>36</v>
      </c>
      <c r="I350" t="s">
        <v>35</v>
      </c>
      <c r="J350" t="s">
        <v>28</v>
      </c>
      <c r="K350" s="2">
        <v>56809.11</v>
      </c>
      <c r="L350" s="2">
        <v>29547.67</v>
      </c>
      <c r="M350" s="2">
        <v>27261.439999999999</v>
      </c>
      <c r="N350" s="2">
        <v>2763.07</v>
      </c>
      <c r="O350" s="2">
        <v>24498.37</v>
      </c>
      <c r="P350" s="3">
        <v>43.12</v>
      </c>
      <c r="Q350" s="2">
        <v>1899531.52</v>
      </c>
      <c r="R350" s="2">
        <v>1148017.67</v>
      </c>
      <c r="S350" s="2">
        <v>751513.85</v>
      </c>
      <c r="T350" s="2">
        <v>56492.65</v>
      </c>
      <c r="U350" s="2">
        <v>3525.12</v>
      </c>
      <c r="V350" s="2">
        <v>39733.68</v>
      </c>
      <c r="W350" s="2">
        <v>99751.45</v>
      </c>
    </row>
    <row r="351" spans="1:23" ht="15.75" customHeight="1">
      <c r="A351">
        <v>6</v>
      </c>
      <c r="B351" s="1">
        <v>45292</v>
      </c>
      <c r="C351" t="s">
        <v>57</v>
      </c>
      <c r="D351">
        <v>1</v>
      </c>
      <c r="E351" t="s">
        <v>24</v>
      </c>
      <c r="F351">
        <v>1</v>
      </c>
      <c r="G351" t="s">
        <v>25</v>
      </c>
      <c r="H351" t="s">
        <v>30</v>
      </c>
      <c r="I351" t="s">
        <v>27</v>
      </c>
      <c r="J351" t="s">
        <v>28</v>
      </c>
      <c r="K351" s="2">
        <v>178528.3</v>
      </c>
      <c r="L351" s="2">
        <v>107593.39</v>
      </c>
      <c r="M351" s="2">
        <v>70934.91</v>
      </c>
      <c r="N351" s="2">
        <v>10160.93</v>
      </c>
      <c r="O351" s="2">
        <v>60773.98</v>
      </c>
      <c r="P351" s="3">
        <v>34.04</v>
      </c>
      <c r="Q351" s="2">
        <v>3993858.32</v>
      </c>
      <c r="R351" s="2">
        <v>1542913</v>
      </c>
      <c r="S351" s="2">
        <v>2450945.3199999998</v>
      </c>
      <c r="T351" s="2">
        <v>105234.57</v>
      </c>
      <c r="U351" s="2">
        <v>15841.28</v>
      </c>
      <c r="V351" s="2">
        <v>2899.4</v>
      </c>
      <c r="W351" s="2">
        <v>123975.25</v>
      </c>
    </row>
    <row r="352" spans="1:23" ht="15.75" customHeight="1">
      <c r="A352">
        <v>584</v>
      </c>
      <c r="B352" s="1">
        <v>45296</v>
      </c>
      <c r="C352" t="s">
        <v>57</v>
      </c>
      <c r="D352">
        <v>1</v>
      </c>
      <c r="E352" t="s">
        <v>24</v>
      </c>
      <c r="F352">
        <v>1</v>
      </c>
      <c r="G352" t="s">
        <v>37</v>
      </c>
      <c r="H352" t="s">
        <v>34</v>
      </c>
      <c r="I352" t="s">
        <v>31</v>
      </c>
      <c r="J352" t="s">
        <v>32</v>
      </c>
      <c r="K352" s="2">
        <v>131175.94</v>
      </c>
      <c r="L352" s="2">
        <v>93380.04</v>
      </c>
      <c r="M352" s="2">
        <v>37795.9</v>
      </c>
      <c r="N352" s="2">
        <v>5336.73</v>
      </c>
      <c r="O352" s="2">
        <v>32459.17</v>
      </c>
      <c r="P352" s="3">
        <v>24.74</v>
      </c>
      <c r="Q352" s="2">
        <v>845255.3</v>
      </c>
      <c r="R352" s="2">
        <v>355445.99</v>
      </c>
      <c r="S352" s="2">
        <v>489809.31</v>
      </c>
      <c r="T352" s="2">
        <v>37846.01</v>
      </c>
      <c r="U352" s="2">
        <v>-3132.91</v>
      </c>
      <c r="V352" s="2">
        <v>-8458.36</v>
      </c>
      <c r="W352" s="2">
        <v>26254.74</v>
      </c>
    </row>
    <row r="353" spans="1:23" ht="15.75" customHeight="1">
      <c r="A353">
        <v>83</v>
      </c>
      <c r="B353" s="1">
        <v>45301</v>
      </c>
      <c r="C353" t="s">
        <v>57</v>
      </c>
      <c r="D353">
        <v>1</v>
      </c>
      <c r="E353" t="s">
        <v>24</v>
      </c>
      <c r="F353">
        <v>1</v>
      </c>
      <c r="G353" t="s">
        <v>29</v>
      </c>
      <c r="H353" t="s">
        <v>34</v>
      </c>
      <c r="I353" t="s">
        <v>38</v>
      </c>
      <c r="J353" t="s">
        <v>32</v>
      </c>
      <c r="K353" s="2">
        <v>108896.32000000001</v>
      </c>
      <c r="L353" s="2">
        <v>87803.87</v>
      </c>
      <c r="M353" s="2">
        <v>21092.45</v>
      </c>
      <c r="N353" s="2">
        <v>2913.25</v>
      </c>
      <c r="O353" s="2">
        <v>18179.2</v>
      </c>
      <c r="P353" s="3">
        <v>16.690000000000001</v>
      </c>
      <c r="Q353" s="2">
        <v>3346798.52</v>
      </c>
      <c r="R353" s="2">
        <v>2084423.74</v>
      </c>
      <c r="S353" s="2">
        <v>1262374.78</v>
      </c>
      <c r="T353" s="2">
        <v>-3620.02</v>
      </c>
      <c r="U353" s="2">
        <v>23722.85</v>
      </c>
      <c r="V353" s="2">
        <v>28788.57</v>
      </c>
      <c r="W353" s="2">
        <v>48891.4</v>
      </c>
    </row>
    <row r="354" spans="1:23" ht="15.75" customHeight="1">
      <c r="A354">
        <v>260</v>
      </c>
      <c r="B354" s="1">
        <v>45301</v>
      </c>
      <c r="C354" t="s">
        <v>57</v>
      </c>
      <c r="D354">
        <v>1</v>
      </c>
      <c r="E354" t="s">
        <v>24</v>
      </c>
      <c r="F354">
        <v>1</v>
      </c>
      <c r="G354" t="s">
        <v>29</v>
      </c>
      <c r="H354" t="s">
        <v>34</v>
      </c>
      <c r="I354" t="s">
        <v>38</v>
      </c>
      <c r="J354" t="s">
        <v>28</v>
      </c>
      <c r="K354" s="2">
        <v>129958.62</v>
      </c>
      <c r="L354" s="2">
        <v>88535.71</v>
      </c>
      <c r="M354" s="2">
        <v>41422.910000000003</v>
      </c>
      <c r="N354" s="2">
        <v>5542.94</v>
      </c>
      <c r="O354" s="2">
        <v>35879.97</v>
      </c>
      <c r="P354" s="3">
        <v>27.61</v>
      </c>
      <c r="Q354" s="2">
        <v>4173848.53</v>
      </c>
      <c r="R354" s="2">
        <v>1880761.96</v>
      </c>
      <c r="S354" s="2">
        <v>2293086.5699999998</v>
      </c>
      <c r="T354" s="2">
        <v>11551.3</v>
      </c>
      <c r="U354" s="2">
        <v>-38713.68</v>
      </c>
      <c r="V354" s="2">
        <v>53529.71</v>
      </c>
      <c r="W354" s="2">
        <v>26367.33</v>
      </c>
    </row>
    <row r="355" spans="1:23" ht="15.75" customHeight="1">
      <c r="A355">
        <v>201</v>
      </c>
      <c r="B355" s="1">
        <v>45306</v>
      </c>
      <c r="C355" t="s">
        <v>57</v>
      </c>
      <c r="D355">
        <v>1</v>
      </c>
      <c r="E355" t="s">
        <v>24</v>
      </c>
      <c r="F355">
        <v>1</v>
      </c>
      <c r="G355" t="s">
        <v>25</v>
      </c>
      <c r="H355" t="s">
        <v>34</v>
      </c>
      <c r="I355" t="s">
        <v>31</v>
      </c>
      <c r="J355" t="s">
        <v>44</v>
      </c>
      <c r="K355" s="2">
        <v>77664.17</v>
      </c>
      <c r="L355" s="2">
        <v>49812.13</v>
      </c>
      <c r="M355" s="2">
        <v>27852.04</v>
      </c>
      <c r="N355" s="2">
        <v>4022.25</v>
      </c>
      <c r="O355" s="2">
        <v>23829.79</v>
      </c>
      <c r="P355" s="3">
        <v>30.68</v>
      </c>
      <c r="Q355" s="2">
        <v>530196.76</v>
      </c>
      <c r="R355" s="2">
        <v>214384.95</v>
      </c>
      <c r="S355" s="2">
        <v>315811.81</v>
      </c>
      <c r="T355" s="2">
        <v>57167.41</v>
      </c>
      <c r="U355" s="2">
        <v>-10401.120000000001</v>
      </c>
      <c r="V355" s="2">
        <v>-29874.01</v>
      </c>
      <c r="W355" s="2">
        <v>16892.28</v>
      </c>
    </row>
    <row r="356" spans="1:23" ht="15.75" customHeight="1">
      <c r="A356">
        <v>589</v>
      </c>
      <c r="B356" s="1">
        <v>45306</v>
      </c>
      <c r="C356" t="s">
        <v>57</v>
      </c>
      <c r="D356">
        <v>1</v>
      </c>
      <c r="E356" t="s">
        <v>24</v>
      </c>
      <c r="F356">
        <v>1</v>
      </c>
      <c r="G356" t="s">
        <v>29</v>
      </c>
      <c r="H356" t="s">
        <v>30</v>
      </c>
      <c r="I356" t="s">
        <v>31</v>
      </c>
      <c r="J356" t="s">
        <v>41</v>
      </c>
      <c r="K356" s="2">
        <v>120394.97</v>
      </c>
      <c r="L356" s="2">
        <v>62761.38</v>
      </c>
      <c r="M356" s="2">
        <v>57633.59</v>
      </c>
      <c r="N356" s="2">
        <v>10551.88</v>
      </c>
      <c r="O356" s="2">
        <v>47081.71</v>
      </c>
      <c r="P356" s="3">
        <v>39.11</v>
      </c>
      <c r="Q356" s="2">
        <v>3548585.09</v>
      </c>
      <c r="R356" s="2">
        <v>1633442.58</v>
      </c>
      <c r="S356" s="2">
        <v>1915142.51</v>
      </c>
      <c r="T356" s="2">
        <v>74529.850000000006</v>
      </c>
      <c r="U356" s="2">
        <v>-11854.61</v>
      </c>
      <c r="V356" s="2">
        <v>54776.959999999999</v>
      </c>
      <c r="W356" s="2">
        <v>117452.2</v>
      </c>
    </row>
    <row r="357" spans="1:23" ht="15.75" customHeight="1">
      <c r="A357">
        <v>498</v>
      </c>
      <c r="B357" s="1">
        <v>45312</v>
      </c>
      <c r="C357" t="s">
        <v>57</v>
      </c>
      <c r="D357">
        <v>1</v>
      </c>
      <c r="E357" t="s">
        <v>24</v>
      </c>
      <c r="F357">
        <v>1</v>
      </c>
      <c r="G357" t="s">
        <v>29</v>
      </c>
      <c r="H357" t="s">
        <v>30</v>
      </c>
      <c r="I357" t="s">
        <v>35</v>
      </c>
      <c r="J357" t="s">
        <v>32</v>
      </c>
      <c r="K357" s="2">
        <v>170363</v>
      </c>
      <c r="L357" s="2">
        <v>119346.72</v>
      </c>
      <c r="M357" s="2">
        <v>51016.28</v>
      </c>
      <c r="N357" s="2">
        <v>5113.55</v>
      </c>
      <c r="O357" s="2">
        <v>45902.73</v>
      </c>
      <c r="P357" s="3">
        <v>26.94</v>
      </c>
      <c r="Q357" s="2">
        <v>810175.45</v>
      </c>
      <c r="R357" s="2">
        <v>359247.95</v>
      </c>
      <c r="S357" s="2">
        <v>450927.5</v>
      </c>
      <c r="T357" s="2">
        <v>33509.94</v>
      </c>
      <c r="U357" s="2">
        <v>-44601.52</v>
      </c>
      <c r="V357" s="2">
        <v>47769.22</v>
      </c>
      <c r="W357" s="2">
        <v>36677.64</v>
      </c>
    </row>
    <row r="358" spans="1:23" ht="15.75" customHeight="1">
      <c r="A358">
        <v>568</v>
      </c>
      <c r="B358" s="1">
        <v>45316</v>
      </c>
      <c r="C358" t="s">
        <v>57</v>
      </c>
      <c r="D358">
        <v>1</v>
      </c>
      <c r="E358" t="s">
        <v>24</v>
      </c>
      <c r="F358">
        <v>1</v>
      </c>
      <c r="G358" t="s">
        <v>25</v>
      </c>
      <c r="H358" t="s">
        <v>26</v>
      </c>
      <c r="I358" t="s">
        <v>35</v>
      </c>
      <c r="J358" t="s">
        <v>44</v>
      </c>
      <c r="K358" s="2">
        <v>30032.97</v>
      </c>
      <c r="L358" s="2">
        <v>21775.119999999999</v>
      </c>
      <c r="M358" s="2">
        <v>8257.85</v>
      </c>
      <c r="N358" s="2">
        <v>1676.06</v>
      </c>
      <c r="O358" s="2">
        <v>6581.79</v>
      </c>
      <c r="P358" s="3">
        <v>21.92</v>
      </c>
      <c r="Q358" s="2">
        <v>1112253.05</v>
      </c>
      <c r="R358" s="2">
        <v>650035.79</v>
      </c>
      <c r="S358" s="2">
        <v>462217.26</v>
      </c>
      <c r="T358" s="2">
        <v>-11035.33</v>
      </c>
      <c r="U358" s="2">
        <v>-39882.44</v>
      </c>
      <c r="V358" s="2">
        <v>-15102.31</v>
      </c>
      <c r="W358" s="2">
        <v>-66020.08</v>
      </c>
    </row>
    <row r="359" spans="1:23" ht="15.75" customHeight="1">
      <c r="A359">
        <v>347</v>
      </c>
      <c r="B359" s="1">
        <v>45319</v>
      </c>
      <c r="C359" t="s">
        <v>57</v>
      </c>
      <c r="D359">
        <v>1</v>
      </c>
      <c r="E359" t="s">
        <v>24</v>
      </c>
      <c r="F359">
        <v>1</v>
      </c>
      <c r="G359" t="s">
        <v>29</v>
      </c>
      <c r="H359" t="s">
        <v>36</v>
      </c>
      <c r="I359" t="s">
        <v>38</v>
      </c>
      <c r="J359" t="s">
        <v>29</v>
      </c>
      <c r="K359" s="2">
        <v>152793.09</v>
      </c>
      <c r="L359" s="2">
        <v>77035.44</v>
      </c>
      <c r="M359" s="2">
        <v>75757.649999999994</v>
      </c>
      <c r="N359" s="2">
        <v>16787.75</v>
      </c>
      <c r="O359" s="2">
        <v>58969.9</v>
      </c>
      <c r="P359" s="3">
        <v>38.590000000000003</v>
      </c>
      <c r="Q359" s="2">
        <v>2931334.39</v>
      </c>
      <c r="R359" s="2">
        <v>1723232.89</v>
      </c>
      <c r="S359" s="2">
        <v>1208101.5</v>
      </c>
      <c r="T359" s="2">
        <v>63474.04</v>
      </c>
      <c r="U359" s="2">
        <v>-32095.95</v>
      </c>
      <c r="V359" s="2">
        <v>51506.07</v>
      </c>
      <c r="W359" s="2">
        <v>82884.160000000003</v>
      </c>
    </row>
    <row r="360" spans="1:23" ht="15.75" customHeight="1">
      <c r="A360">
        <v>442</v>
      </c>
      <c r="B360" s="1">
        <v>45319</v>
      </c>
      <c r="C360" t="s">
        <v>57</v>
      </c>
      <c r="D360">
        <v>1</v>
      </c>
      <c r="E360" t="s">
        <v>24</v>
      </c>
      <c r="F360">
        <v>1</v>
      </c>
      <c r="G360" t="s">
        <v>37</v>
      </c>
      <c r="H360" t="s">
        <v>34</v>
      </c>
      <c r="I360" t="s">
        <v>27</v>
      </c>
      <c r="J360" t="s">
        <v>39</v>
      </c>
      <c r="K360" s="2">
        <v>45501.65</v>
      </c>
      <c r="L360" s="2">
        <v>23787.11</v>
      </c>
      <c r="M360" s="2">
        <v>21714.54</v>
      </c>
      <c r="N360" s="2">
        <v>2613.83</v>
      </c>
      <c r="O360" s="2">
        <v>19100.71</v>
      </c>
      <c r="P360" s="3">
        <v>41.98</v>
      </c>
      <c r="Q360" s="2">
        <v>1849539.17</v>
      </c>
      <c r="R360" s="2">
        <v>937934.66</v>
      </c>
      <c r="S360" s="2">
        <v>911604.51</v>
      </c>
      <c r="T360" s="2">
        <v>37176.35</v>
      </c>
      <c r="U360" s="2">
        <v>-392.01</v>
      </c>
      <c r="V360" s="2">
        <v>-3749.8</v>
      </c>
      <c r="W360" s="2">
        <v>33034.54</v>
      </c>
    </row>
    <row r="361" spans="1:23" ht="15.75" customHeight="1">
      <c r="A361">
        <v>17</v>
      </c>
      <c r="B361" s="1">
        <v>45320</v>
      </c>
      <c r="C361" t="s">
        <v>57</v>
      </c>
      <c r="D361">
        <v>1</v>
      </c>
      <c r="E361" t="s">
        <v>24</v>
      </c>
      <c r="F361">
        <v>1</v>
      </c>
      <c r="G361" t="s">
        <v>25</v>
      </c>
      <c r="H361" t="s">
        <v>30</v>
      </c>
      <c r="I361" t="s">
        <v>27</v>
      </c>
      <c r="J361" t="s">
        <v>29</v>
      </c>
      <c r="K361" s="2">
        <v>68363.34</v>
      </c>
      <c r="L361" s="2">
        <v>41164.75</v>
      </c>
      <c r="M361" s="2">
        <v>27198.59</v>
      </c>
      <c r="N361" s="2">
        <v>4963.01</v>
      </c>
      <c r="O361" s="2">
        <v>22235.58</v>
      </c>
      <c r="P361" s="3">
        <v>32.53</v>
      </c>
      <c r="Q361" s="2">
        <v>1719309.39</v>
      </c>
      <c r="R361" s="2">
        <v>521421.92</v>
      </c>
      <c r="S361" s="2">
        <v>1197887.47</v>
      </c>
      <c r="T361" s="2">
        <v>-1668.39</v>
      </c>
      <c r="U361" s="2">
        <v>24053.18</v>
      </c>
      <c r="V361" s="2">
        <v>1663.91</v>
      </c>
      <c r="W361" s="2">
        <v>24048.7</v>
      </c>
    </row>
    <row r="362" spans="1:23" ht="15.75" customHeight="1">
      <c r="A362">
        <v>530</v>
      </c>
      <c r="B362" s="1">
        <v>45323</v>
      </c>
      <c r="C362" t="s">
        <v>57</v>
      </c>
      <c r="D362">
        <v>1</v>
      </c>
      <c r="E362" t="s">
        <v>42</v>
      </c>
      <c r="F362">
        <v>2</v>
      </c>
      <c r="G362" t="s">
        <v>29</v>
      </c>
      <c r="H362" t="s">
        <v>36</v>
      </c>
      <c r="I362" t="s">
        <v>27</v>
      </c>
      <c r="J362" t="s">
        <v>32</v>
      </c>
      <c r="K362" s="2">
        <v>66539.58</v>
      </c>
      <c r="L362" s="2">
        <v>52401.05</v>
      </c>
      <c r="M362" s="2">
        <v>14138.53</v>
      </c>
      <c r="N362" s="2">
        <v>2652.96</v>
      </c>
      <c r="O362" s="2">
        <v>11485.57</v>
      </c>
      <c r="P362" s="3">
        <v>17.260000000000002</v>
      </c>
      <c r="Q362" s="2">
        <v>3744745.97</v>
      </c>
      <c r="R362" s="2">
        <v>1321374.58</v>
      </c>
      <c r="S362" s="2">
        <v>2423371.39</v>
      </c>
      <c r="T362" s="2">
        <v>39036.620000000003</v>
      </c>
      <c r="U362" s="2">
        <v>-67187.850000000006</v>
      </c>
      <c r="V362" s="2">
        <v>-2467.87</v>
      </c>
      <c r="W362" s="2">
        <v>-30619.1</v>
      </c>
    </row>
    <row r="363" spans="1:23" ht="15.75" customHeight="1">
      <c r="A363">
        <v>1</v>
      </c>
      <c r="B363" s="1">
        <v>45323</v>
      </c>
      <c r="C363" t="s">
        <v>57</v>
      </c>
      <c r="D363">
        <v>1</v>
      </c>
      <c r="E363" t="s">
        <v>42</v>
      </c>
      <c r="F363">
        <v>2</v>
      </c>
      <c r="G363" t="s">
        <v>25</v>
      </c>
      <c r="H363" t="s">
        <v>34</v>
      </c>
      <c r="I363" t="s">
        <v>31</v>
      </c>
      <c r="J363" t="s">
        <v>44</v>
      </c>
      <c r="K363" s="2">
        <v>98496.94</v>
      </c>
      <c r="L363" s="2">
        <v>47889.08</v>
      </c>
      <c r="M363" s="2">
        <v>50607.86</v>
      </c>
      <c r="N363" s="2">
        <v>8278.17</v>
      </c>
      <c r="O363" s="2">
        <v>42329.69</v>
      </c>
      <c r="P363" s="3">
        <v>42.98</v>
      </c>
      <c r="Q363" s="2">
        <v>2630622.9700000002</v>
      </c>
      <c r="R363" s="2">
        <v>839907.27</v>
      </c>
      <c r="S363" s="2">
        <v>1790715.7</v>
      </c>
      <c r="T363" s="2">
        <v>47037.82</v>
      </c>
      <c r="U363" s="2">
        <v>-30149.53</v>
      </c>
      <c r="V363" s="2">
        <v>21585.01</v>
      </c>
      <c r="W363" s="2">
        <v>38473.300000000003</v>
      </c>
    </row>
    <row r="364" spans="1:23" ht="15.75" customHeight="1">
      <c r="A364">
        <v>472</v>
      </c>
      <c r="B364" s="1">
        <v>45324</v>
      </c>
      <c r="C364" t="s">
        <v>57</v>
      </c>
      <c r="D364">
        <v>1</v>
      </c>
      <c r="E364" t="s">
        <v>42</v>
      </c>
      <c r="F364">
        <v>2</v>
      </c>
      <c r="G364" t="s">
        <v>40</v>
      </c>
      <c r="H364" t="s">
        <v>30</v>
      </c>
      <c r="I364" t="s">
        <v>31</v>
      </c>
      <c r="J364" t="s">
        <v>39</v>
      </c>
      <c r="K364" s="2">
        <v>166550.6</v>
      </c>
      <c r="L364" s="2">
        <v>98856.1</v>
      </c>
      <c r="M364" s="2">
        <v>67694.5</v>
      </c>
      <c r="N364" s="2">
        <v>14962.26</v>
      </c>
      <c r="O364" s="2">
        <v>52732.24</v>
      </c>
      <c r="P364" s="3">
        <v>31.66</v>
      </c>
      <c r="Q364" s="2">
        <v>1101630.44</v>
      </c>
      <c r="R364" s="2">
        <v>687591.23</v>
      </c>
      <c r="S364" s="2">
        <v>414039.21</v>
      </c>
      <c r="T364" s="2">
        <v>82846.11</v>
      </c>
      <c r="U364" s="2">
        <v>24133.439999999999</v>
      </c>
      <c r="V364" s="2">
        <v>27661.72</v>
      </c>
      <c r="W364" s="2">
        <v>134641.26999999999</v>
      </c>
    </row>
    <row r="365" spans="1:23" ht="15.75" customHeight="1">
      <c r="A365">
        <v>545</v>
      </c>
      <c r="B365" s="1">
        <v>45326</v>
      </c>
      <c r="C365" t="s">
        <v>57</v>
      </c>
      <c r="D365">
        <v>1</v>
      </c>
      <c r="E365" t="s">
        <v>42</v>
      </c>
      <c r="F365">
        <v>2</v>
      </c>
      <c r="G365" t="s">
        <v>43</v>
      </c>
      <c r="H365" t="s">
        <v>26</v>
      </c>
      <c r="I365" t="s">
        <v>27</v>
      </c>
      <c r="J365" t="s">
        <v>29</v>
      </c>
      <c r="K365" s="2">
        <v>72498.559999999998</v>
      </c>
      <c r="L365" s="2">
        <v>58435.199999999997</v>
      </c>
      <c r="M365" s="2">
        <v>14063.36</v>
      </c>
      <c r="N365" s="2">
        <v>3430.94</v>
      </c>
      <c r="O365" s="2">
        <v>10632.42</v>
      </c>
      <c r="P365" s="3">
        <v>14.67</v>
      </c>
      <c r="Q365" s="2">
        <v>1802463.66</v>
      </c>
      <c r="R365" s="2">
        <v>796418.64</v>
      </c>
      <c r="S365" s="2">
        <v>1006045.02</v>
      </c>
      <c r="T365" s="2">
        <v>58459.95</v>
      </c>
      <c r="U365" s="2">
        <v>-69513.16</v>
      </c>
      <c r="V365" s="2">
        <v>1267.82</v>
      </c>
      <c r="W365" s="2">
        <v>-9785.39</v>
      </c>
    </row>
    <row r="366" spans="1:23" ht="15.75" customHeight="1">
      <c r="A366">
        <v>90</v>
      </c>
      <c r="B366" s="1">
        <v>45326</v>
      </c>
      <c r="C366" t="s">
        <v>57</v>
      </c>
      <c r="D366">
        <v>1</v>
      </c>
      <c r="E366" t="s">
        <v>42</v>
      </c>
      <c r="F366">
        <v>2</v>
      </c>
      <c r="G366" t="s">
        <v>40</v>
      </c>
      <c r="H366" t="s">
        <v>36</v>
      </c>
      <c r="I366" t="s">
        <v>27</v>
      </c>
      <c r="J366" t="s">
        <v>41</v>
      </c>
      <c r="K366" s="2">
        <v>148463.28</v>
      </c>
      <c r="L366" s="2">
        <v>93259.18</v>
      </c>
      <c r="M366" s="2">
        <v>55204.1</v>
      </c>
      <c r="N366" s="2">
        <v>5517.23</v>
      </c>
      <c r="O366" s="2">
        <v>49686.87</v>
      </c>
      <c r="P366" s="3">
        <v>33.47</v>
      </c>
      <c r="Q366" s="2">
        <v>1063336.06</v>
      </c>
      <c r="R366" s="2">
        <v>557428.53</v>
      </c>
      <c r="S366" s="2">
        <v>505907.53</v>
      </c>
      <c r="T366" s="2">
        <v>54111.34</v>
      </c>
      <c r="U366" s="2">
        <v>-49947.53</v>
      </c>
      <c r="V366" s="2">
        <v>9159.4500000000007</v>
      </c>
      <c r="W366" s="2">
        <v>13323.26</v>
      </c>
    </row>
    <row r="367" spans="1:23" ht="15.75" customHeight="1">
      <c r="A367">
        <v>5</v>
      </c>
      <c r="B367" s="1">
        <v>45327</v>
      </c>
      <c r="C367" t="s">
        <v>57</v>
      </c>
      <c r="D367">
        <v>1</v>
      </c>
      <c r="E367" t="s">
        <v>42</v>
      </c>
      <c r="F367">
        <v>2</v>
      </c>
      <c r="G367" t="s">
        <v>29</v>
      </c>
      <c r="H367" t="s">
        <v>26</v>
      </c>
      <c r="I367" t="s">
        <v>27</v>
      </c>
      <c r="J367" t="s">
        <v>28</v>
      </c>
      <c r="K367" s="2">
        <v>68687.490000000005</v>
      </c>
      <c r="L367" s="2">
        <v>33912.46</v>
      </c>
      <c r="M367" s="2">
        <v>34775.03</v>
      </c>
      <c r="N367" s="2">
        <v>6900.94</v>
      </c>
      <c r="O367" s="2">
        <v>27874.09</v>
      </c>
      <c r="P367" s="3">
        <v>40.58</v>
      </c>
      <c r="Q367" s="2">
        <v>3330242.81</v>
      </c>
      <c r="R367" s="2">
        <v>2001438.65</v>
      </c>
      <c r="S367" s="2">
        <v>1328804.1599999999</v>
      </c>
      <c r="T367" s="2">
        <v>56679.77</v>
      </c>
      <c r="U367" s="2">
        <v>10348.09</v>
      </c>
      <c r="V367" s="2">
        <v>-11796.54</v>
      </c>
      <c r="W367" s="2">
        <v>55231.32</v>
      </c>
    </row>
    <row r="368" spans="1:23" ht="15.75" customHeight="1">
      <c r="A368">
        <v>365</v>
      </c>
      <c r="B368" s="1">
        <v>45332</v>
      </c>
      <c r="C368" t="s">
        <v>57</v>
      </c>
      <c r="D368">
        <v>1</v>
      </c>
      <c r="E368" t="s">
        <v>42</v>
      </c>
      <c r="F368">
        <v>2</v>
      </c>
      <c r="G368" t="s">
        <v>33</v>
      </c>
      <c r="H368" t="s">
        <v>34</v>
      </c>
      <c r="I368" t="s">
        <v>31</v>
      </c>
      <c r="J368" t="s">
        <v>28</v>
      </c>
      <c r="K368" s="2">
        <v>96930.34</v>
      </c>
      <c r="L368" s="2">
        <v>77440.84</v>
      </c>
      <c r="M368" s="2">
        <v>19489.5</v>
      </c>
      <c r="N368" s="2">
        <v>2632.04</v>
      </c>
      <c r="O368" s="2">
        <v>16857.46</v>
      </c>
      <c r="P368" s="3">
        <v>17.39</v>
      </c>
      <c r="Q368" s="2">
        <v>3475133.05</v>
      </c>
      <c r="R368" s="2">
        <v>1775425.12</v>
      </c>
      <c r="S368" s="2">
        <v>1699707.93</v>
      </c>
      <c r="T368" s="2">
        <v>6943.87</v>
      </c>
      <c r="U368" s="2">
        <v>-4957.4799999999996</v>
      </c>
      <c r="V368" s="2">
        <v>-18766.599999999999</v>
      </c>
      <c r="W368" s="2">
        <v>-16780.21</v>
      </c>
    </row>
    <row r="369" spans="1:23" ht="15.75" customHeight="1">
      <c r="A369">
        <v>248</v>
      </c>
      <c r="B369" s="1">
        <v>45333</v>
      </c>
      <c r="C369" t="s">
        <v>57</v>
      </c>
      <c r="D369">
        <v>1</v>
      </c>
      <c r="E369" t="s">
        <v>42</v>
      </c>
      <c r="F369">
        <v>2</v>
      </c>
      <c r="G369" t="s">
        <v>43</v>
      </c>
      <c r="H369" t="s">
        <v>36</v>
      </c>
      <c r="I369" t="s">
        <v>38</v>
      </c>
      <c r="J369" t="s">
        <v>28</v>
      </c>
      <c r="K369" s="2">
        <v>102118.68</v>
      </c>
      <c r="L369" s="2">
        <v>53687.02</v>
      </c>
      <c r="M369" s="2">
        <v>48431.66</v>
      </c>
      <c r="N369" s="2">
        <v>8741.5300000000007</v>
      </c>
      <c r="O369" s="2">
        <v>39690.129999999997</v>
      </c>
      <c r="P369" s="3">
        <v>38.869999999999997</v>
      </c>
      <c r="Q369" s="2">
        <v>1337611.54</v>
      </c>
      <c r="R369" s="2">
        <v>511804.79</v>
      </c>
      <c r="S369" s="2">
        <v>825806.75</v>
      </c>
      <c r="T369" s="2">
        <v>78092.55</v>
      </c>
      <c r="U369" s="2">
        <v>-49292.42</v>
      </c>
      <c r="V369" s="2">
        <v>-32884.17</v>
      </c>
      <c r="W369" s="2">
        <v>-4084.04</v>
      </c>
    </row>
    <row r="370" spans="1:23" ht="15.75" customHeight="1">
      <c r="A370">
        <v>256</v>
      </c>
      <c r="B370" s="1">
        <v>45333</v>
      </c>
      <c r="C370" t="s">
        <v>57</v>
      </c>
      <c r="D370">
        <v>1</v>
      </c>
      <c r="E370" t="s">
        <v>42</v>
      </c>
      <c r="F370">
        <v>2</v>
      </c>
      <c r="G370" t="s">
        <v>37</v>
      </c>
      <c r="H370" t="s">
        <v>26</v>
      </c>
      <c r="I370" t="s">
        <v>38</v>
      </c>
      <c r="J370" t="s">
        <v>32</v>
      </c>
      <c r="K370" s="2">
        <v>137992.06</v>
      </c>
      <c r="L370" s="2">
        <v>106091.83</v>
      </c>
      <c r="M370" s="2">
        <v>31900.23</v>
      </c>
      <c r="N370" s="2">
        <v>4038.32</v>
      </c>
      <c r="O370" s="2">
        <v>27861.91</v>
      </c>
      <c r="P370" s="3">
        <v>20.190000000000001</v>
      </c>
      <c r="Q370" s="2">
        <v>4131819.07</v>
      </c>
      <c r="R370" s="2">
        <v>1355634.31</v>
      </c>
      <c r="S370" s="2">
        <v>2776184.76</v>
      </c>
      <c r="T370" s="2">
        <v>25489.27</v>
      </c>
      <c r="U370" s="2">
        <v>-36438.949999999997</v>
      </c>
      <c r="V370" s="2">
        <v>57852.55</v>
      </c>
      <c r="W370" s="2">
        <v>46902.87</v>
      </c>
    </row>
    <row r="371" spans="1:23" ht="15.75" customHeight="1">
      <c r="A371">
        <v>445</v>
      </c>
      <c r="B371" s="1">
        <v>45336</v>
      </c>
      <c r="C371" t="s">
        <v>57</v>
      </c>
      <c r="D371">
        <v>1</v>
      </c>
      <c r="E371" t="s">
        <v>42</v>
      </c>
      <c r="F371">
        <v>2</v>
      </c>
      <c r="G371" t="s">
        <v>29</v>
      </c>
      <c r="H371" t="s">
        <v>30</v>
      </c>
      <c r="I371" t="s">
        <v>27</v>
      </c>
      <c r="J371" t="s">
        <v>29</v>
      </c>
      <c r="K371" s="2">
        <v>63060.35</v>
      </c>
      <c r="L371" s="2">
        <v>47330.62</v>
      </c>
      <c r="M371" s="2">
        <v>15729.73</v>
      </c>
      <c r="N371" s="2">
        <v>2175.15</v>
      </c>
      <c r="O371" s="2">
        <v>13554.58</v>
      </c>
      <c r="P371" s="3">
        <v>21.49</v>
      </c>
      <c r="Q371" s="2">
        <v>1001694.6</v>
      </c>
      <c r="R371" s="2">
        <v>478974.09</v>
      </c>
      <c r="S371" s="2">
        <v>522720.51</v>
      </c>
      <c r="T371" s="2">
        <v>30079.72</v>
      </c>
      <c r="U371" s="2">
        <v>1469.57</v>
      </c>
      <c r="V371" s="2">
        <v>-15978.06</v>
      </c>
      <c r="W371" s="2">
        <v>15571.23</v>
      </c>
    </row>
    <row r="372" spans="1:23" ht="15.75" customHeight="1">
      <c r="A372">
        <v>570</v>
      </c>
      <c r="B372" s="1">
        <v>45338</v>
      </c>
      <c r="C372" t="s">
        <v>57</v>
      </c>
      <c r="D372">
        <v>1</v>
      </c>
      <c r="E372" t="s">
        <v>42</v>
      </c>
      <c r="F372">
        <v>2</v>
      </c>
      <c r="G372" t="s">
        <v>43</v>
      </c>
      <c r="H372" t="s">
        <v>36</v>
      </c>
      <c r="I372" t="s">
        <v>35</v>
      </c>
      <c r="J372" t="s">
        <v>39</v>
      </c>
      <c r="K372" s="2">
        <v>106686.18</v>
      </c>
      <c r="L372" s="2">
        <v>70177.100000000006</v>
      </c>
      <c r="M372" s="2">
        <v>36509.08</v>
      </c>
      <c r="N372" s="2">
        <v>3980.89</v>
      </c>
      <c r="O372" s="2">
        <v>32528.19</v>
      </c>
      <c r="P372" s="3">
        <v>30.49</v>
      </c>
      <c r="Q372" s="2">
        <v>1389606.36</v>
      </c>
      <c r="R372" s="2">
        <v>524613.81999999995</v>
      </c>
      <c r="S372" s="2">
        <v>864992.54</v>
      </c>
      <c r="T372" s="2">
        <v>50007.9</v>
      </c>
      <c r="U372" s="2">
        <v>-48988.22</v>
      </c>
      <c r="V372" s="2">
        <v>-28366.83</v>
      </c>
      <c r="W372" s="2">
        <v>-27347.15</v>
      </c>
    </row>
    <row r="373" spans="1:23" ht="15.75" customHeight="1">
      <c r="A373">
        <v>355</v>
      </c>
      <c r="B373" s="1">
        <v>45340</v>
      </c>
      <c r="C373" t="s">
        <v>57</v>
      </c>
      <c r="D373">
        <v>1</v>
      </c>
      <c r="E373" t="s">
        <v>42</v>
      </c>
      <c r="F373">
        <v>2</v>
      </c>
      <c r="G373" t="s">
        <v>43</v>
      </c>
      <c r="H373" t="s">
        <v>36</v>
      </c>
      <c r="I373" t="s">
        <v>27</v>
      </c>
      <c r="J373" t="s">
        <v>37</v>
      </c>
      <c r="K373" s="2">
        <v>91048.79</v>
      </c>
      <c r="L373" s="2">
        <v>69012.66</v>
      </c>
      <c r="M373" s="2">
        <v>22036.13</v>
      </c>
      <c r="N373" s="2">
        <v>4780.97</v>
      </c>
      <c r="O373" s="2">
        <v>17255.16</v>
      </c>
      <c r="P373" s="3">
        <v>18.95</v>
      </c>
      <c r="Q373" s="2">
        <v>1509433.51</v>
      </c>
      <c r="R373" s="2">
        <v>513858.91</v>
      </c>
      <c r="S373" s="2">
        <v>995574.6</v>
      </c>
      <c r="T373" s="2">
        <v>52639.58</v>
      </c>
      <c r="U373" s="2">
        <v>23039.84</v>
      </c>
      <c r="V373" s="2">
        <v>-30463.91</v>
      </c>
      <c r="W373" s="2">
        <v>45215.51</v>
      </c>
    </row>
    <row r="374" spans="1:23" ht="15.75" customHeight="1">
      <c r="A374">
        <v>299</v>
      </c>
      <c r="B374" s="1">
        <v>45344</v>
      </c>
      <c r="C374" t="s">
        <v>57</v>
      </c>
      <c r="D374">
        <v>1</v>
      </c>
      <c r="E374" t="s">
        <v>42</v>
      </c>
      <c r="F374">
        <v>2</v>
      </c>
      <c r="G374" t="s">
        <v>37</v>
      </c>
      <c r="H374" t="s">
        <v>34</v>
      </c>
      <c r="I374" t="s">
        <v>27</v>
      </c>
      <c r="J374" t="s">
        <v>29</v>
      </c>
      <c r="K374" s="2">
        <v>152939.43</v>
      </c>
      <c r="L374" s="2">
        <v>116631.98</v>
      </c>
      <c r="M374" s="2">
        <v>36307.449999999997</v>
      </c>
      <c r="N374" s="2">
        <v>4441.54</v>
      </c>
      <c r="O374" s="2">
        <v>31865.91</v>
      </c>
      <c r="P374" s="3">
        <v>20.84</v>
      </c>
      <c r="Q374" s="2">
        <v>3095160.79</v>
      </c>
      <c r="R374" s="2">
        <v>857057.34</v>
      </c>
      <c r="S374" s="2">
        <v>2238103.4500000002</v>
      </c>
      <c r="T374" s="2">
        <v>9459.34</v>
      </c>
      <c r="U374" s="2">
        <v>29889.26</v>
      </c>
      <c r="V374" s="2">
        <v>-7336.08</v>
      </c>
      <c r="W374" s="2">
        <v>32012.52</v>
      </c>
    </row>
    <row r="375" spans="1:23" ht="15.75" customHeight="1">
      <c r="A375">
        <v>509</v>
      </c>
      <c r="B375" s="1">
        <v>45345</v>
      </c>
      <c r="C375" t="s">
        <v>57</v>
      </c>
      <c r="D375">
        <v>1</v>
      </c>
      <c r="E375" t="s">
        <v>42</v>
      </c>
      <c r="F375">
        <v>2</v>
      </c>
      <c r="G375" t="s">
        <v>25</v>
      </c>
      <c r="H375" t="s">
        <v>34</v>
      </c>
      <c r="I375" t="s">
        <v>38</v>
      </c>
      <c r="J375" t="s">
        <v>32</v>
      </c>
      <c r="K375" s="2">
        <v>103584.94</v>
      </c>
      <c r="L375" s="2">
        <v>68542.53</v>
      </c>
      <c r="M375" s="2">
        <v>35042.410000000003</v>
      </c>
      <c r="N375" s="2">
        <v>8357.59</v>
      </c>
      <c r="O375" s="2">
        <v>26684.82</v>
      </c>
      <c r="P375" s="3">
        <v>25.76</v>
      </c>
      <c r="Q375" s="2">
        <v>4361930.5599999996</v>
      </c>
      <c r="R375" s="2">
        <v>1388142.74</v>
      </c>
      <c r="S375" s="2">
        <v>2973787.82</v>
      </c>
      <c r="T375" s="2">
        <v>31625.45</v>
      </c>
      <c r="U375" s="2">
        <v>-23599.96</v>
      </c>
      <c r="V375" s="2">
        <v>38909.61</v>
      </c>
      <c r="W375" s="2">
        <v>46935.1</v>
      </c>
    </row>
    <row r="376" spans="1:23" ht="15.75" customHeight="1">
      <c r="A376">
        <v>559</v>
      </c>
      <c r="B376" s="1">
        <v>45347</v>
      </c>
      <c r="C376" t="s">
        <v>57</v>
      </c>
      <c r="D376">
        <v>1</v>
      </c>
      <c r="E376" t="s">
        <v>42</v>
      </c>
      <c r="F376">
        <v>2</v>
      </c>
      <c r="G376" t="s">
        <v>37</v>
      </c>
      <c r="H376" t="s">
        <v>34</v>
      </c>
      <c r="I376" t="s">
        <v>31</v>
      </c>
      <c r="J376" t="s">
        <v>41</v>
      </c>
      <c r="K376" s="2">
        <v>113779.74</v>
      </c>
      <c r="L376" s="2">
        <v>61234.52</v>
      </c>
      <c r="M376" s="2">
        <v>52545.22</v>
      </c>
      <c r="N376" s="2">
        <v>11295.77</v>
      </c>
      <c r="O376" s="2">
        <v>41249.449999999997</v>
      </c>
      <c r="P376" s="3">
        <v>36.25</v>
      </c>
      <c r="Q376" s="2">
        <v>2689172.45</v>
      </c>
      <c r="R376" s="2">
        <v>1031615.55</v>
      </c>
      <c r="S376" s="2">
        <v>1657556.9</v>
      </c>
      <c r="T376" s="2">
        <v>19795.13</v>
      </c>
      <c r="U376" s="2">
        <v>-46115.48</v>
      </c>
      <c r="V376" s="2">
        <v>54928.12</v>
      </c>
      <c r="W376" s="2">
        <v>28607.77</v>
      </c>
    </row>
    <row r="377" spans="1:23" ht="15.75" customHeight="1">
      <c r="A377">
        <v>128</v>
      </c>
      <c r="B377" s="1">
        <v>45349</v>
      </c>
      <c r="C377" t="s">
        <v>57</v>
      </c>
      <c r="D377">
        <v>1</v>
      </c>
      <c r="E377" t="s">
        <v>42</v>
      </c>
      <c r="F377">
        <v>2</v>
      </c>
      <c r="G377" t="s">
        <v>43</v>
      </c>
      <c r="H377" t="s">
        <v>26</v>
      </c>
      <c r="I377" t="s">
        <v>38</v>
      </c>
      <c r="J377" t="s">
        <v>29</v>
      </c>
      <c r="K377" s="2">
        <v>39404.019999999997</v>
      </c>
      <c r="L377" s="2">
        <v>21479.43</v>
      </c>
      <c r="M377" s="2">
        <v>17924.59</v>
      </c>
      <c r="N377" s="2">
        <v>3834.85</v>
      </c>
      <c r="O377" s="2">
        <v>14089.74</v>
      </c>
      <c r="P377" s="3">
        <v>35.76</v>
      </c>
      <c r="Q377" s="2">
        <v>4391087.8600000003</v>
      </c>
      <c r="R377" s="2">
        <v>2166538.88</v>
      </c>
      <c r="S377" s="2">
        <v>2224548.98</v>
      </c>
      <c r="T377" s="2">
        <v>24636.81</v>
      </c>
      <c r="U377" s="2">
        <v>-54069.599999999999</v>
      </c>
      <c r="V377" s="2">
        <v>-33689.1</v>
      </c>
      <c r="W377" s="2">
        <v>-63121.89</v>
      </c>
    </row>
    <row r="378" spans="1:23" ht="15.75" customHeight="1">
      <c r="A378">
        <v>273</v>
      </c>
      <c r="B378" s="1">
        <v>45350</v>
      </c>
      <c r="C378" t="s">
        <v>57</v>
      </c>
      <c r="D378">
        <v>1</v>
      </c>
      <c r="E378" t="s">
        <v>42</v>
      </c>
      <c r="F378">
        <v>2</v>
      </c>
      <c r="G378" t="s">
        <v>37</v>
      </c>
      <c r="H378" t="s">
        <v>36</v>
      </c>
      <c r="I378" t="s">
        <v>35</v>
      </c>
      <c r="J378" t="s">
        <v>28</v>
      </c>
      <c r="K378" s="2">
        <v>154966.23000000001</v>
      </c>
      <c r="L378" s="2">
        <v>115896.67</v>
      </c>
      <c r="M378" s="2">
        <v>39069.56</v>
      </c>
      <c r="N378" s="2">
        <v>8591.68</v>
      </c>
      <c r="O378" s="2">
        <v>30477.88</v>
      </c>
      <c r="P378" s="3">
        <v>19.670000000000002</v>
      </c>
      <c r="Q378" s="2">
        <v>4697197.29</v>
      </c>
      <c r="R378" s="2">
        <v>2196886.62</v>
      </c>
      <c r="S378" s="2">
        <v>2500310.67</v>
      </c>
      <c r="T378" s="2">
        <v>16500.439999999999</v>
      </c>
      <c r="U378" s="2">
        <v>-8321.64</v>
      </c>
      <c r="V378" s="2">
        <v>34288.15</v>
      </c>
      <c r="W378" s="2">
        <v>42466.95</v>
      </c>
    </row>
    <row r="379" spans="1:23" ht="15.75" customHeight="1">
      <c r="A379">
        <v>351</v>
      </c>
      <c r="B379" s="1">
        <v>45351</v>
      </c>
      <c r="C379" t="s">
        <v>57</v>
      </c>
      <c r="D379">
        <v>1</v>
      </c>
      <c r="E379" t="s">
        <v>42</v>
      </c>
      <c r="F379">
        <v>2</v>
      </c>
      <c r="G379" t="s">
        <v>33</v>
      </c>
      <c r="H379" t="s">
        <v>26</v>
      </c>
      <c r="I379" t="s">
        <v>31</v>
      </c>
      <c r="J379" t="s">
        <v>28</v>
      </c>
      <c r="K379" s="2">
        <v>145325.01999999999</v>
      </c>
      <c r="L379" s="2">
        <v>72413.350000000006</v>
      </c>
      <c r="M379" s="2">
        <v>72911.67</v>
      </c>
      <c r="N379" s="2">
        <v>12841.3</v>
      </c>
      <c r="O379" s="2">
        <v>60070.37</v>
      </c>
      <c r="P379" s="3">
        <v>41.34</v>
      </c>
      <c r="Q379" s="2">
        <v>2490135.2400000002</v>
      </c>
      <c r="R379" s="2">
        <v>1416599.16</v>
      </c>
      <c r="S379" s="2">
        <v>1073536.08</v>
      </c>
      <c r="T379" s="2">
        <v>88008.97</v>
      </c>
      <c r="U379" s="2">
        <v>-959.43</v>
      </c>
      <c r="V379" s="2">
        <v>-5945.52</v>
      </c>
      <c r="W379" s="2">
        <v>81104.02</v>
      </c>
    </row>
    <row r="380" spans="1:23" ht="15.75" customHeight="1">
      <c r="A380">
        <v>57</v>
      </c>
      <c r="B380" s="1">
        <v>45351</v>
      </c>
      <c r="C380" t="s">
        <v>57</v>
      </c>
      <c r="D380">
        <v>1</v>
      </c>
      <c r="E380" t="s">
        <v>42</v>
      </c>
      <c r="F380">
        <v>2</v>
      </c>
      <c r="G380" t="s">
        <v>37</v>
      </c>
      <c r="H380" t="s">
        <v>36</v>
      </c>
      <c r="I380" t="s">
        <v>38</v>
      </c>
      <c r="J380" t="s">
        <v>32</v>
      </c>
      <c r="K380" s="2">
        <v>88458.81</v>
      </c>
      <c r="L380" s="2">
        <v>57874.84</v>
      </c>
      <c r="M380" s="2">
        <v>30583.97</v>
      </c>
      <c r="N380" s="2">
        <v>4714.26</v>
      </c>
      <c r="O380" s="2">
        <v>25869.71</v>
      </c>
      <c r="P380" s="3">
        <v>29.24</v>
      </c>
      <c r="Q380" s="2">
        <v>1825095.92</v>
      </c>
      <c r="R380" s="2">
        <v>1148681.28</v>
      </c>
      <c r="S380" s="2">
        <v>676414.64</v>
      </c>
      <c r="T380" s="2">
        <v>56958.17</v>
      </c>
      <c r="U380" s="2">
        <v>-55988.68</v>
      </c>
      <c r="V380" s="2">
        <v>46846.8</v>
      </c>
      <c r="W380" s="2">
        <v>47816.29</v>
      </c>
    </row>
    <row r="381" spans="1:23" ht="15.75" customHeight="1">
      <c r="A381">
        <v>387</v>
      </c>
      <c r="B381" s="1">
        <v>45355</v>
      </c>
      <c r="C381" t="s">
        <v>57</v>
      </c>
      <c r="D381">
        <v>1</v>
      </c>
      <c r="E381" t="s">
        <v>45</v>
      </c>
      <c r="F381">
        <v>3</v>
      </c>
      <c r="G381" t="s">
        <v>25</v>
      </c>
      <c r="H381" t="s">
        <v>36</v>
      </c>
      <c r="I381" t="s">
        <v>31</v>
      </c>
      <c r="J381" t="s">
        <v>44</v>
      </c>
      <c r="K381" s="2">
        <v>122664.43</v>
      </c>
      <c r="L381" s="2">
        <v>92808.1</v>
      </c>
      <c r="M381" s="2">
        <v>29856.33</v>
      </c>
      <c r="N381" s="2">
        <v>6365.07</v>
      </c>
      <c r="O381" s="2">
        <v>23491.26</v>
      </c>
      <c r="P381" s="3">
        <v>19.149999999999999</v>
      </c>
      <c r="Q381" s="2">
        <v>1746811.62</v>
      </c>
      <c r="R381" s="2">
        <v>1094119.07</v>
      </c>
      <c r="S381" s="2">
        <v>652692.55000000005</v>
      </c>
      <c r="T381" s="2">
        <v>3438.93</v>
      </c>
      <c r="U381" s="2">
        <v>17513.36</v>
      </c>
      <c r="V381" s="2">
        <v>57094.02</v>
      </c>
      <c r="W381" s="2">
        <v>78046.31</v>
      </c>
    </row>
    <row r="382" spans="1:23" ht="15.75" customHeight="1">
      <c r="A382">
        <v>132</v>
      </c>
      <c r="B382" s="1">
        <v>45359</v>
      </c>
      <c r="C382" t="s">
        <v>57</v>
      </c>
      <c r="D382">
        <v>1</v>
      </c>
      <c r="E382" t="s">
        <v>45</v>
      </c>
      <c r="F382">
        <v>3</v>
      </c>
      <c r="G382" t="s">
        <v>37</v>
      </c>
      <c r="H382" t="s">
        <v>30</v>
      </c>
      <c r="I382" t="s">
        <v>27</v>
      </c>
      <c r="J382" t="s">
        <v>39</v>
      </c>
      <c r="K382" s="2">
        <v>152484.49</v>
      </c>
      <c r="L382" s="2">
        <v>76094.960000000006</v>
      </c>
      <c r="M382" s="2">
        <v>76389.53</v>
      </c>
      <c r="N382" s="2">
        <v>17305.47</v>
      </c>
      <c r="O382" s="2">
        <v>59084.06</v>
      </c>
      <c r="P382" s="3">
        <v>38.75</v>
      </c>
      <c r="Q382" s="2">
        <v>4652407.3600000003</v>
      </c>
      <c r="R382" s="2">
        <v>2069506.02</v>
      </c>
      <c r="S382" s="2">
        <v>2582901.34</v>
      </c>
      <c r="T382" s="2">
        <v>77584.3</v>
      </c>
      <c r="U382" s="2">
        <v>6480.98</v>
      </c>
      <c r="V382" s="2">
        <v>-22516.14</v>
      </c>
      <c r="W382" s="2">
        <v>61549.14</v>
      </c>
    </row>
    <row r="383" spans="1:23" ht="15.75" customHeight="1">
      <c r="A383">
        <v>497</v>
      </c>
      <c r="B383" s="1">
        <v>45363</v>
      </c>
      <c r="C383" t="s">
        <v>57</v>
      </c>
      <c r="D383">
        <v>1</v>
      </c>
      <c r="E383" t="s">
        <v>45</v>
      </c>
      <c r="F383">
        <v>3</v>
      </c>
      <c r="G383" t="s">
        <v>25</v>
      </c>
      <c r="H383" t="s">
        <v>36</v>
      </c>
      <c r="I383" t="s">
        <v>35</v>
      </c>
      <c r="J383" t="s">
        <v>28</v>
      </c>
      <c r="K383" s="2">
        <v>101886.62</v>
      </c>
      <c r="L383" s="2">
        <v>46141.77</v>
      </c>
      <c r="M383" s="2">
        <v>55744.85</v>
      </c>
      <c r="N383" s="2">
        <v>9122.9599999999991</v>
      </c>
      <c r="O383" s="2">
        <v>46621.89</v>
      </c>
      <c r="P383" s="3">
        <v>45.76</v>
      </c>
      <c r="Q383" s="2">
        <v>4939193.3099999996</v>
      </c>
      <c r="R383" s="2">
        <v>1784565.43</v>
      </c>
      <c r="S383" s="2">
        <v>3154627.88</v>
      </c>
      <c r="T383" s="2">
        <v>48255.35</v>
      </c>
      <c r="U383" s="2">
        <v>-1281</v>
      </c>
      <c r="V383" s="2">
        <v>41479.370000000003</v>
      </c>
      <c r="W383" s="2">
        <v>88453.72</v>
      </c>
    </row>
    <row r="384" spans="1:23" ht="15.75" customHeight="1">
      <c r="A384">
        <v>312</v>
      </c>
      <c r="B384" s="1">
        <v>45368</v>
      </c>
      <c r="C384" t="s">
        <v>57</v>
      </c>
      <c r="D384">
        <v>1</v>
      </c>
      <c r="E384" t="s">
        <v>45</v>
      </c>
      <c r="F384">
        <v>3</v>
      </c>
      <c r="G384" t="s">
        <v>25</v>
      </c>
      <c r="H384" t="s">
        <v>36</v>
      </c>
      <c r="I384" t="s">
        <v>31</v>
      </c>
      <c r="J384" t="s">
        <v>44</v>
      </c>
      <c r="K384" s="2">
        <v>75569.36</v>
      </c>
      <c r="L384" s="2">
        <v>42377.17</v>
      </c>
      <c r="M384" s="2">
        <v>33192.19</v>
      </c>
      <c r="N384" s="2">
        <v>3967.33</v>
      </c>
      <c r="O384" s="2">
        <v>29224.86</v>
      </c>
      <c r="P384" s="3">
        <v>38.67</v>
      </c>
      <c r="Q384" s="2">
        <v>1083555.3999999999</v>
      </c>
      <c r="R384" s="2">
        <v>382045.62</v>
      </c>
      <c r="S384" s="2">
        <v>701509.78</v>
      </c>
      <c r="T384" s="2">
        <v>27650.44</v>
      </c>
      <c r="U384" s="2">
        <v>-2600.58</v>
      </c>
      <c r="V384" s="2">
        <v>-33743.519999999997</v>
      </c>
      <c r="W384" s="2">
        <v>-8693.66</v>
      </c>
    </row>
    <row r="385" spans="1:23" ht="15.75" customHeight="1">
      <c r="A385">
        <v>123</v>
      </c>
      <c r="B385" s="1">
        <v>45377</v>
      </c>
      <c r="C385" t="s">
        <v>57</v>
      </c>
      <c r="D385">
        <v>1</v>
      </c>
      <c r="E385" t="s">
        <v>45</v>
      </c>
      <c r="F385">
        <v>3</v>
      </c>
      <c r="G385" t="s">
        <v>43</v>
      </c>
      <c r="H385" t="s">
        <v>30</v>
      </c>
      <c r="I385" t="s">
        <v>27</v>
      </c>
      <c r="J385" t="s">
        <v>32</v>
      </c>
      <c r="K385" s="2">
        <v>77868.95</v>
      </c>
      <c r="L385" s="2">
        <v>58629.22</v>
      </c>
      <c r="M385" s="2">
        <v>19239.73</v>
      </c>
      <c r="N385" s="2">
        <v>3512.16</v>
      </c>
      <c r="O385" s="2">
        <v>15727.57</v>
      </c>
      <c r="P385" s="3">
        <v>20.2</v>
      </c>
      <c r="Q385" s="2">
        <v>2017522.1</v>
      </c>
      <c r="R385" s="2">
        <v>1235147.04</v>
      </c>
      <c r="S385" s="2">
        <v>782375.06</v>
      </c>
      <c r="T385" s="2">
        <v>47537.39</v>
      </c>
      <c r="U385" s="2">
        <v>-43510.46</v>
      </c>
      <c r="V385" s="2">
        <v>24528.98</v>
      </c>
      <c r="W385" s="2">
        <v>28555.91</v>
      </c>
    </row>
    <row r="386" spans="1:23" ht="15.75" customHeight="1">
      <c r="A386">
        <v>198</v>
      </c>
      <c r="B386" s="1">
        <v>45380</v>
      </c>
      <c r="C386" t="s">
        <v>57</v>
      </c>
      <c r="D386">
        <v>1</v>
      </c>
      <c r="E386" t="s">
        <v>45</v>
      </c>
      <c r="F386">
        <v>3</v>
      </c>
      <c r="G386" t="s">
        <v>29</v>
      </c>
      <c r="H386" t="s">
        <v>34</v>
      </c>
      <c r="I386" t="s">
        <v>38</v>
      </c>
      <c r="J386" t="s">
        <v>41</v>
      </c>
      <c r="K386" s="2">
        <v>31779.56</v>
      </c>
      <c r="L386" s="2">
        <v>15747.13</v>
      </c>
      <c r="M386" s="2">
        <v>16032.43</v>
      </c>
      <c r="N386" s="2">
        <v>2805.18</v>
      </c>
      <c r="O386" s="2">
        <v>13227.25</v>
      </c>
      <c r="P386" s="3">
        <v>41.62</v>
      </c>
      <c r="Q386" s="2">
        <v>2044253.09</v>
      </c>
      <c r="R386" s="2">
        <v>1107309.33</v>
      </c>
      <c r="S386" s="2">
        <v>936943.76</v>
      </c>
      <c r="T386" s="2">
        <v>35410.58</v>
      </c>
      <c r="U386" s="2">
        <v>14560.44</v>
      </c>
      <c r="V386" s="2">
        <v>29249.279999999999</v>
      </c>
      <c r="W386" s="2">
        <v>79220.3</v>
      </c>
    </row>
    <row r="387" spans="1:23" ht="15.75" customHeight="1">
      <c r="A387">
        <v>343</v>
      </c>
      <c r="B387" s="1">
        <v>45380</v>
      </c>
      <c r="C387" t="s">
        <v>57</v>
      </c>
      <c r="D387">
        <v>1</v>
      </c>
      <c r="E387" t="s">
        <v>45</v>
      </c>
      <c r="F387">
        <v>3</v>
      </c>
      <c r="G387" t="s">
        <v>33</v>
      </c>
      <c r="H387" t="s">
        <v>30</v>
      </c>
      <c r="I387" t="s">
        <v>38</v>
      </c>
      <c r="J387" t="s">
        <v>29</v>
      </c>
      <c r="K387" s="2">
        <v>127575.55</v>
      </c>
      <c r="L387" s="2">
        <v>61034.33</v>
      </c>
      <c r="M387" s="2">
        <v>66541.22</v>
      </c>
      <c r="N387" s="2">
        <v>9335.2800000000007</v>
      </c>
      <c r="O387" s="2">
        <v>57205.94</v>
      </c>
      <c r="P387" s="3">
        <v>44.84</v>
      </c>
      <c r="Q387" s="2">
        <v>2977985.21</v>
      </c>
      <c r="R387" s="2">
        <v>1224795</v>
      </c>
      <c r="S387" s="2">
        <v>1753190.21</v>
      </c>
      <c r="T387" s="2">
        <v>93897.46</v>
      </c>
      <c r="U387" s="2">
        <v>11467.1</v>
      </c>
      <c r="V387" s="2">
        <v>21183.1</v>
      </c>
      <c r="W387" s="2">
        <v>126547.66</v>
      </c>
    </row>
    <row r="388" spans="1:23" ht="15.75" customHeight="1">
      <c r="A388">
        <v>450</v>
      </c>
      <c r="B388" s="1">
        <v>45381</v>
      </c>
      <c r="C388" t="s">
        <v>57</v>
      </c>
      <c r="D388">
        <v>1</v>
      </c>
      <c r="E388" t="s">
        <v>45</v>
      </c>
      <c r="F388">
        <v>3</v>
      </c>
      <c r="G388" t="s">
        <v>29</v>
      </c>
      <c r="H388" t="s">
        <v>36</v>
      </c>
      <c r="I388" t="s">
        <v>38</v>
      </c>
      <c r="J388" t="s">
        <v>32</v>
      </c>
      <c r="K388" s="2">
        <v>129432.22</v>
      </c>
      <c r="L388" s="2">
        <v>79811.740000000005</v>
      </c>
      <c r="M388" s="2">
        <v>49620.480000000003</v>
      </c>
      <c r="N388" s="2">
        <v>10287.5</v>
      </c>
      <c r="O388" s="2">
        <v>39332.980000000003</v>
      </c>
      <c r="P388" s="3">
        <v>30.39</v>
      </c>
      <c r="Q388" s="2">
        <v>2106420.9300000002</v>
      </c>
      <c r="R388" s="2">
        <v>1061420.57</v>
      </c>
      <c r="S388" s="2">
        <v>1045000.36</v>
      </c>
      <c r="T388" s="2">
        <v>24246.560000000001</v>
      </c>
      <c r="U388" s="2">
        <v>4936.9399999999996</v>
      </c>
      <c r="V388" s="2">
        <v>14569.6</v>
      </c>
      <c r="W388" s="2">
        <v>43753.1</v>
      </c>
    </row>
    <row r="389" spans="1:23" ht="15.75" customHeight="1">
      <c r="A389">
        <v>32</v>
      </c>
      <c r="B389" s="1">
        <v>45381</v>
      </c>
      <c r="C389" t="s">
        <v>57</v>
      </c>
      <c r="D389">
        <v>1</v>
      </c>
      <c r="E389" t="s">
        <v>45</v>
      </c>
      <c r="F389">
        <v>3</v>
      </c>
      <c r="G389" t="s">
        <v>40</v>
      </c>
      <c r="H389" t="s">
        <v>26</v>
      </c>
      <c r="I389" t="s">
        <v>31</v>
      </c>
      <c r="J389" t="s">
        <v>39</v>
      </c>
      <c r="K389" s="2">
        <v>68985.27</v>
      </c>
      <c r="L389" s="2">
        <v>40310.879999999997</v>
      </c>
      <c r="M389" s="2">
        <v>28674.39</v>
      </c>
      <c r="N389" s="2">
        <v>5442.57</v>
      </c>
      <c r="O389" s="2">
        <v>23231.82</v>
      </c>
      <c r="P389" s="3">
        <v>33.68</v>
      </c>
      <c r="Q389" s="2">
        <v>3068502.37</v>
      </c>
      <c r="R389" s="2">
        <v>1204199.05</v>
      </c>
      <c r="S389" s="2">
        <v>1864303.32</v>
      </c>
      <c r="T389" s="2">
        <v>72153.039999999994</v>
      </c>
      <c r="U389" s="2">
        <v>-9422.52</v>
      </c>
      <c r="V389" s="2">
        <v>-16277.32</v>
      </c>
      <c r="W389" s="2">
        <v>46453.2</v>
      </c>
    </row>
    <row r="390" spans="1:23" ht="15.75" customHeight="1">
      <c r="A390">
        <v>375</v>
      </c>
      <c r="B390" s="1">
        <v>45383</v>
      </c>
      <c r="C390" t="s">
        <v>57</v>
      </c>
      <c r="D390">
        <v>2</v>
      </c>
      <c r="E390" t="s">
        <v>46</v>
      </c>
      <c r="F390">
        <v>4</v>
      </c>
      <c r="G390" t="s">
        <v>37</v>
      </c>
      <c r="H390" t="s">
        <v>36</v>
      </c>
      <c r="I390" t="s">
        <v>38</v>
      </c>
      <c r="J390" t="s">
        <v>39</v>
      </c>
      <c r="K390" s="2">
        <v>132671.32999999999</v>
      </c>
      <c r="L390" s="2">
        <v>77603.199999999997</v>
      </c>
      <c r="M390" s="2">
        <v>55068.13</v>
      </c>
      <c r="N390" s="2">
        <v>11319.03</v>
      </c>
      <c r="O390" s="2">
        <v>43749.1</v>
      </c>
      <c r="P390" s="3">
        <v>32.979999999999997</v>
      </c>
      <c r="Q390" s="2">
        <v>3499776.88</v>
      </c>
      <c r="R390" s="2">
        <v>1042320.35</v>
      </c>
      <c r="S390" s="2">
        <v>2457456.5299999998</v>
      </c>
      <c r="T390" s="2">
        <v>59560.53</v>
      </c>
      <c r="U390" s="2">
        <v>-44325.65</v>
      </c>
      <c r="V390" s="2">
        <v>40409.57</v>
      </c>
      <c r="W390" s="2">
        <v>55644.45</v>
      </c>
    </row>
    <row r="391" spans="1:23" ht="15.75" customHeight="1">
      <c r="A391">
        <v>194</v>
      </c>
      <c r="B391" s="1">
        <v>45391</v>
      </c>
      <c r="C391" t="s">
        <v>57</v>
      </c>
      <c r="D391">
        <v>2</v>
      </c>
      <c r="E391" t="s">
        <v>46</v>
      </c>
      <c r="F391">
        <v>4</v>
      </c>
      <c r="G391" t="s">
        <v>43</v>
      </c>
      <c r="H391" t="s">
        <v>36</v>
      </c>
      <c r="I391" t="s">
        <v>31</v>
      </c>
      <c r="J391" t="s">
        <v>29</v>
      </c>
      <c r="K391" s="2">
        <v>152687.51</v>
      </c>
      <c r="L391" s="2">
        <v>122664.93</v>
      </c>
      <c r="M391" s="2">
        <v>30022.58</v>
      </c>
      <c r="N391" s="2">
        <v>6593.07</v>
      </c>
      <c r="O391" s="2">
        <v>23429.51</v>
      </c>
      <c r="P391" s="3">
        <v>15.34</v>
      </c>
      <c r="Q391" s="2">
        <v>507042.97</v>
      </c>
      <c r="R391" s="2">
        <v>255833.88</v>
      </c>
      <c r="S391" s="2">
        <v>251209.09</v>
      </c>
      <c r="T391" s="2">
        <v>-2479.66</v>
      </c>
      <c r="U391" s="2">
        <v>-44239.28</v>
      </c>
      <c r="V391" s="2">
        <v>-34047.53</v>
      </c>
      <c r="W391" s="2">
        <v>-80766.47</v>
      </c>
    </row>
    <row r="392" spans="1:23" ht="15.75" customHeight="1">
      <c r="A392">
        <v>426</v>
      </c>
      <c r="B392" s="1">
        <v>45392</v>
      </c>
      <c r="C392" t="s">
        <v>57</v>
      </c>
      <c r="D392">
        <v>2</v>
      </c>
      <c r="E392" t="s">
        <v>46</v>
      </c>
      <c r="F392">
        <v>4</v>
      </c>
      <c r="G392" t="s">
        <v>33</v>
      </c>
      <c r="H392" t="s">
        <v>26</v>
      </c>
      <c r="I392" t="s">
        <v>27</v>
      </c>
      <c r="J392" t="s">
        <v>44</v>
      </c>
      <c r="K392" s="2">
        <v>125555.8</v>
      </c>
      <c r="L392" s="2">
        <v>75963.62</v>
      </c>
      <c r="M392" s="2">
        <v>49592.18</v>
      </c>
      <c r="N392" s="2">
        <v>7828.86</v>
      </c>
      <c r="O392" s="2">
        <v>41763.32</v>
      </c>
      <c r="P392" s="3">
        <v>33.26</v>
      </c>
      <c r="Q392" s="2">
        <v>1654912.43</v>
      </c>
      <c r="R392" s="2">
        <v>911601.45</v>
      </c>
      <c r="S392" s="2">
        <v>743310.98</v>
      </c>
      <c r="T392" s="2">
        <v>52793.3</v>
      </c>
      <c r="U392" s="2">
        <v>-37914.550000000003</v>
      </c>
      <c r="V392" s="2">
        <v>19605.009999999998</v>
      </c>
      <c r="W392" s="2">
        <v>34483.760000000002</v>
      </c>
    </row>
    <row r="393" spans="1:23" ht="15.75" customHeight="1">
      <c r="A393">
        <v>475</v>
      </c>
      <c r="B393" s="1">
        <v>45396</v>
      </c>
      <c r="C393" t="s">
        <v>57</v>
      </c>
      <c r="D393">
        <v>2</v>
      </c>
      <c r="E393" t="s">
        <v>46</v>
      </c>
      <c r="F393">
        <v>4</v>
      </c>
      <c r="G393" t="s">
        <v>43</v>
      </c>
      <c r="H393" t="s">
        <v>36</v>
      </c>
      <c r="I393" t="s">
        <v>35</v>
      </c>
      <c r="J393" t="s">
        <v>44</v>
      </c>
      <c r="K393" s="2">
        <v>53001.919999999998</v>
      </c>
      <c r="L393" s="2">
        <v>42435.66</v>
      </c>
      <c r="M393" s="2">
        <v>10566.26</v>
      </c>
      <c r="N393" s="2">
        <v>1238.27</v>
      </c>
      <c r="O393" s="2">
        <v>9327.99</v>
      </c>
      <c r="P393" s="3">
        <v>17.600000000000001</v>
      </c>
      <c r="Q393" s="2">
        <v>1967992.28</v>
      </c>
      <c r="R393" s="2">
        <v>1087270.26</v>
      </c>
      <c r="S393" s="2">
        <v>880722.02</v>
      </c>
      <c r="T393" s="2">
        <v>10828.4</v>
      </c>
      <c r="U393" s="2">
        <v>-9178.86</v>
      </c>
      <c r="V393" s="2">
        <v>4457.3500000000004</v>
      </c>
      <c r="W393" s="2">
        <v>6106.89</v>
      </c>
    </row>
    <row r="394" spans="1:23" ht="15.75" customHeight="1">
      <c r="A394">
        <v>284</v>
      </c>
      <c r="B394" s="1">
        <v>45404</v>
      </c>
      <c r="C394" t="s">
        <v>57</v>
      </c>
      <c r="D394">
        <v>2</v>
      </c>
      <c r="E394" t="s">
        <v>46</v>
      </c>
      <c r="F394">
        <v>4</v>
      </c>
      <c r="G394" t="s">
        <v>33</v>
      </c>
      <c r="H394" t="s">
        <v>36</v>
      </c>
      <c r="I394" t="s">
        <v>27</v>
      </c>
      <c r="J394" t="s">
        <v>37</v>
      </c>
      <c r="K394" s="2">
        <v>141849.09</v>
      </c>
      <c r="L394" s="2">
        <v>109570.38</v>
      </c>
      <c r="M394" s="2">
        <v>32278.71</v>
      </c>
      <c r="N394" s="2">
        <v>6308.11</v>
      </c>
      <c r="O394" s="2">
        <v>25970.6</v>
      </c>
      <c r="P394" s="3">
        <v>18.309999999999999</v>
      </c>
      <c r="Q394" s="2">
        <v>2353391.33</v>
      </c>
      <c r="R394" s="2">
        <v>1297749.06</v>
      </c>
      <c r="S394" s="2">
        <v>1055642.27</v>
      </c>
      <c r="T394" s="2">
        <v>12263.97</v>
      </c>
      <c r="U394" s="2">
        <v>-37244.78</v>
      </c>
      <c r="V394" s="2">
        <v>14668.53</v>
      </c>
      <c r="W394" s="2">
        <v>-10312.280000000001</v>
      </c>
    </row>
    <row r="395" spans="1:23" ht="15.75" customHeight="1">
      <c r="A395">
        <v>577</v>
      </c>
      <c r="B395" s="1">
        <v>45409</v>
      </c>
      <c r="C395" t="s">
        <v>57</v>
      </c>
      <c r="D395">
        <v>2</v>
      </c>
      <c r="E395" t="s">
        <v>46</v>
      </c>
      <c r="F395">
        <v>4</v>
      </c>
      <c r="G395" t="s">
        <v>37</v>
      </c>
      <c r="H395" t="s">
        <v>30</v>
      </c>
      <c r="I395" t="s">
        <v>38</v>
      </c>
      <c r="J395" t="s">
        <v>44</v>
      </c>
      <c r="K395" s="2">
        <v>148600.19</v>
      </c>
      <c r="L395" s="2">
        <v>106463.3</v>
      </c>
      <c r="M395" s="2">
        <v>42136.89</v>
      </c>
      <c r="N395" s="2">
        <v>3987.97</v>
      </c>
      <c r="O395" s="2">
        <v>38148.92</v>
      </c>
      <c r="P395" s="3">
        <v>25.67</v>
      </c>
      <c r="Q395" s="2">
        <v>2587144.21</v>
      </c>
      <c r="R395" s="2">
        <v>826827.9</v>
      </c>
      <c r="S395" s="2">
        <v>1760316.31</v>
      </c>
      <c r="T395" s="2">
        <v>35147.08</v>
      </c>
      <c r="U395" s="2">
        <v>-68191.89</v>
      </c>
      <c r="V395" s="2">
        <v>32.99</v>
      </c>
      <c r="W395" s="2">
        <v>-33011.82</v>
      </c>
    </row>
    <row r="396" spans="1:23" ht="15.75" customHeight="1">
      <c r="A396">
        <v>508</v>
      </c>
      <c r="B396" s="1">
        <v>45410</v>
      </c>
      <c r="C396" t="s">
        <v>57</v>
      </c>
      <c r="D396">
        <v>2</v>
      </c>
      <c r="E396" t="s">
        <v>46</v>
      </c>
      <c r="F396">
        <v>4</v>
      </c>
      <c r="G396" t="s">
        <v>29</v>
      </c>
      <c r="H396" t="s">
        <v>26</v>
      </c>
      <c r="I396" t="s">
        <v>38</v>
      </c>
      <c r="J396" t="s">
        <v>29</v>
      </c>
      <c r="K396" s="2">
        <v>36668.199999999997</v>
      </c>
      <c r="L396" s="2">
        <v>18025.61</v>
      </c>
      <c r="M396" s="2">
        <v>18642.59</v>
      </c>
      <c r="N396" s="2">
        <v>1647.68</v>
      </c>
      <c r="O396" s="2">
        <v>16994.91</v>
      </c>
      <c r="P396" s="3">
        <v>46.35</v>
      </c>
      <c r="Q396" s="2">
        <v>1658656.47</v>
      </c>
      <c r="R396" s="2">
        <v>504670.43</v>
      </c>
      <c r="S396" s="2">
        <v>1153986.04</v>
      </c>
      <c r="T396" s="2">
        <v>7798.75</v>
      </c>
      <c r="U396" s="2">
        <v>-31494.19</v>
      </c>
      <c r="V396" s="2">
        <v>54298.28</v>
      </c>
      <c r="W396" s="2">
        <v>30602.84</v>
      </c>
    </row>
    <row r="397" spans="1:23" ht="15.75" customHeight="1">
      <c r="A397">
        <v>422</v>
      </c>
      <c r="B397" s="1">
        <v>45412</v>
      </c>
      <c r="C397" t="s">
        <v>57</v>
      </c>
      <c r="D397">
        <v>2</v>
      </c>
      <c r="E397" t="s">
        <v>46</v>
      </c>
      <c r="F397">
        <v>4</v>
      </c>
      <c r="G397" t="s">
        <v>40</v>
      </c>
      <c r="H397" t="s">
        <v>36</v>
      </c>
      <c r="I397" t="s">
        <v>31</v>
      </c>
      <c r="J397" t="s">
        <v>37</v>
      </c>
      <c r="K397" s="2">
        <v>87344.68</v>
      </c>
      <c r="L397" s="2">
        <v>54455.24</v>
      </c>
      <c r="M397" s="2">
        <v>32889.440000000002</v>
      </c>
      <c r="N397" s="2">
        <v>6576.51</v>
      </c>
      <c r="O397" s="2">
        <v>26312.93</v>
      </c>
      <c r="P397" s="3">
        <v>30.13</v>
      </c>
      <c r="Q397" s="2">
        <v>4649863.68</v>
      </c>
      <c r="R397" s="2">
        <v>1426567.5</v>
      </c>
      <c r="S397" s="2">
        <v>3223296.18</v>
      </c>
      <c r="T397" s="2">
        <v>20652.28</v>
      </c>
      <c r="U397" s="2">
        <v>-56075.32</v>
      </c>
      <c r="V397" s="2">
        <v>21200.85</v>
      </c>
      <c r="W397" s="2">
        <v>-14222.19</v>
      </c>
    </row>
    <row r="398" spans="1:23" ht="15.75" customHeight="1">
      <c r="A398">
        <v>29</v>
      </c>
      <c r="B398" s="1">
        <v>45412</v>
      </c>
      <c r="C398" t="s">
        <v>57</v>
      </c>
      <c r="D398">
        <v>2</v>
      </c>
      <c r="E398" t="s">
        <v>46</v>
      </c>
      <c r="F398">
        <v>4</v>
      </c>
      <c r="G398" t="s">
        <v>43</v>
      </c>
      <c r="H398" t="s">
        <v>26</v>
      </c>
      <c r="I398" t="s">
        <v>31</v>
      </c>
      <c r="J398" t="s">
        <v>29</v>
      </c>
      <c r="K398" s="2">
        <v>82181.61</v>
      </c>
      <c r="L398" s="2">
        <v>51046.11</v>
      </c>
      <c r="M398" s="2">
        <v>31135.5</v>
      </c>
      <c r="N398" s="2">
        <v>6447.23</v>
      </c>
      <c r="O398" s="2">
        <v>24688.27</v>
      </c>
      <c r="P398" s="3">
        <v>30.04</v>
      </c>
      <c r="Q398" s="2">
        <v>665074.41</v>
      </c>
      <c r="R398" s="2">
        <v>233424.34</v>
      </c>
      <c r="S398" s="2">
        <v>431650.07</v>
      </c>
      <c r="T398" s="2">
        <v>51756.24</v>
      </c>
      <c r="U398" s="2">
        <v>19520.68</v>
      </c>
      <c r="V398" s="2">
        <v>11167.74</v>
      </c>
      <c r="W398" s="2">
        <v>82444.66</v>
      </c>
    </row>
    <row r="399" spans="1:23" ht="15.75" customHeight="1">
      <c r="A399">
        <v>388</v>
      </c>
      <c r="B399" s="1">
        <v>45415</v>
      </c>
      <c r="C399" t="s">
        <v>57</v>
      </c>
      <c r="D399">
        <v>2</v>
      </c>
      <c r="E399" t="s">
        <v>47</v>
      </c>
      <c r="F399">
        <v>5</v>
      </c>
      <c r="G399" t="s">
        <v>40</v>
      </c>
      <c r="H399" t="s">
        <v>36</v>
      </c>
      <c r="I399" t="s">
        <v>38</v>
      </c>
      <c r="J399" t="s">
        <v>37</v>
      </c>
      <c r="K399" s="2">
        <v>31244.26</v>
      </c>
      <c r="L399" s="2">
        <v>18746.759999999998</v>
      </c>
      <c r="M399" s="2">
        <v>12497.5</v>
      </c>
      <c r="N399" s="2">
        <v>2096.6799999999998</v>
      </c>
      <c r="O399" s="2">
        <v>10400.82</v>
      </c>
      <c r="P399" s="3">
        <v>33.29</v>
      </c>
      <c r="Q399" s="2">
        <v>3112903.52</v>
      </c>
      <c r="R399" s="2">
        <v>1943618.82</v>
      </c>
      <c r="S399" s="2">
        <v>1169284.7</v>
      </c>
      <c r="T399" s="2">
        <v>34180.870000000003</v>
      </c>
      <c r="U399" s="2">
        <v>-21872.2</v>
      </c>
      <c r="V399" s="2">
        <v>40967.5</v>
      </c>
      <c r="W399" s="2">
        <v>53276.17</v>
      </c>
    </row>
    <row r="400" spans="1:23" ht="15.75" customHeight="1">
      <c r="A400">
        <v>531</v>
      </c>
      <c r="B400" s="1">
        <v>45416</v>
      </c>
      <c r="C400" t="s">
        <v>57</v>
      </c>
      <c r="D400">
        <v>2</v>
      </c>
      <c r="E400" t="s">
        <v>47</v>
      </c>
      <c r="F400">
        <v>5</v>
      </c>
      <c r="G400" t="s">
        <v>43</v>
      </c>
      <c r="H400" t="s">
        <v>36</v>
      </c>
      <c r="I400" t="s">
        <v>35</v>
      </c>
      <c r="J400" t="s">
        <v>32</v>
      </c>
      <c r="K400" s="2">
        <v>152565.54999999999</v>
      </c>
      <c r="L400" s="2">
        <v>81921.84</v>
      </c>
      <c r="M400" s="2">
        <v>70643.710000000006</v>
      </c>
      <c r="N400" s="2">
        <v>13485.02</v>
      </c>
      <c r="O400" s="2">
        <v>57158.69</v>
      </c>
      <c r="P400" s="3">
        <v>37.47</v>
      </c>
      <c r="Q400" s="2">
        <v>2323387.14</v>
      </c>
      <c r="R400" s="2">
        <v>1134782.79</v>
      </c>
      <c r="S400" s="2">
        <v>1188604.3500000001</v>
      </c>
      <c r="T400" s="2">
        <v>35754.730000000003</v>
      </c>
      <c r="U400" s="2">
        <v>-68308.72</v>
      </c>
      <c r="V400" s="2">
        <v>50956.44</v>
      </c>
      <c r="W400" s="2">
        <v>18402.45</v>
      </c>
    </row>
    <row r="401" spans="1:23" ht="15.75" customHeight="1">
      <c r="A401">
        <v>298</v>
      </c>
      <c r="B401" s="1">
        <v>45421</v>
      </c>
      <c r="C401" t="s">
        <v>57</v>
      </c>
      <c r="D401">
        <v>2</v>
      </c>
      <c r="E401" t="s">
        <v>47</v>
      </c>
      <c r="F401">
        <v>5</v>
      </c>
      <c r="G401" t="s">
        <v>25</v>
      </c>
      <c r="H401" t="s">
        <v>30</v>
      </c>
      <c r="I401" t="s">
        <v>35</v>
      </c>
      <c r="J401" t="s">
        <v>41</v>
      </c>
      <c r="K401" s="2">
        <v>89362.35</v>
      </c>
      <c r="L401" s="2">
        <v>69589.3</v>
      </c>
      <c r="M401" s="2">
        <v>19773.05</v>
      </c>
      <c r="N401" s="2">
        <v>4352.75</v>
      </c>
      <c r="O401" s="2">
        <v>15420.3</v>
      </c>
      <c r="P401" s="3">
        <v>17.260000000000002</v>
      </c>
      <c r="Q401" s="2">
        <v>3335179.45</v>
      </c>
      <c r="R401" s="2">
        <v>1978589.06</v>
      </c>
      <c r="S401" s="2">
        <v>1356590.39</v>
      </c>
      <c r="T401" s="2">
        <v>48122.09</v>
      </c>
      <c r="U401" s="2">
        <v>-27101.51</v>
      </c>
      <c r="V401" s="2">
        <v>-19893.48</v>
      </c>
      <c r="W401" s="2">
        <v>1127.0999999999999</v>
      </c>
    </row>
    <row r="402" spans="1:23" ht="15.75" customHeight="1">
      <c r="A402">
        <v>12</v>
      </c>
      <c r="B402" s="1">
        <v>45435</v>
      </c>
      <c r="C402" t="s">
        <v>57</v>
      </c>
      <c r="D402">
        <v>2</v>
      </c>
      <c r="E402" t="s">
        <v>47</v>
      </c>
      <c r="F402">
        <v>5</v>
      </c>
      <c r="G402" t="s">
        <v>29</v>
      </c>
      <c r="H402" t="s">
        <v>34</v>
      </c>
      <c r="I402" t="s">
        <v>35</v>
      </c>
      <c r="J402" t="s">
        <v>41</v>
      </c>
      <c r="K402" s="2">
        <v>145457.76999999999</v>
      </c>
      <c r="L402" s="2">
        <v>95508.96</v>
      </c>
      <c r="M402" s="2">
        <v>49948.81</v>
      </c>
      <c r="N402" s="2">
        <v>7598.1</v>
      </c>
      <c r="O402" s="2">
        <v>42350.71</v>
      </c>
      <c r="P402" s="3">
        <v>29.12</v>
      </c>
      <c r="Q402" s="2">
        <v>4578594.7300000004</v>
      </c>
      <c r="R402" s="2">
        <v>1348299.97</v>
      </c>
      <c r="S402" s="2">
        <v>3230294.76</v>
      </c>
      <c r="T402" s="2">
        <v>51760.72</v>
      </c>
      <c r="U402" s="2">
        <v>-68864.639999999999</v>
      </c>
      <c r="V402" s="2">
        <v>6866.06</v>
      </c>
      <c r="W402" s="2">
        <v>-10237.86</v>
      </c>
    </row>
    <row r="403" spans="1:23" ht="15.75" customHeight="1">
      <c r="A403">
        <v>168</v>
      </c>
      <c r="B403" s="1">
        <v>45438</v>
      </c>
      <c r="C403" t="s">
        <v>57</v>
      </c>
      <c r="D403">
        <v>2</v>
      </c>
      <c r="E403" t="s">
        <v>47</v>
      </c>
      <c r="F403">
        <v>5</v>
      </c>
      <c r="G403" t="s">
        <v>29</v>
      </c>
      <c r="H403" t="s">
        <v>30</v>
      </c>
      <c r="I403" t="s">
        <v>35</v>
      </c>
      <c r="J403" t="s">
        <v>28</v>
      </c>
      <c r="K403" s="2">
        <v>128698.46</v>
      </c>
      <c r="L403" s="2">
        <v>79928.100000000006</v>
      </c>
      <c r="M403" s="2">
        <v>48770.36</v>
      </c>
      <c r="N403" s="2">
        <v>7315.56</v>
      </c>
      <c r="O403" s="2">
        <v>41454.800000000003</v>
      </c>
      <c r="P403" s="3">
        <v>32.21</v>
      </c>
      <c r="Q403" s="2">
        <v>3429380.6</v>
      </c>
      <c r="R403" s="2">
        <v>1605542.54</v>
      </c>
      <c r="S403" s="2">
        <v>1823838.06</v>
      </c>
      <c r="T403" s="2">
        <v>16436.650000000001</v>
      </c>
      <c r="U403" s="2">
        <v>-18749.740000000002</v>
      </c>
      <c r="V403" s="2">
        <v>40640.36</v>
      </c>
      <c r="W403" s="2">
        <v>38327.269999999997</v>
      </c>
    </row>
    <row r="404" spans="1:23" ht="15.75" customHeight="1">
      <c r="A404">
        <v>427</v>
      </c>
      <c r="B404" s="1">
        <v>45440</v>
      </c>
      <c r="C404" t="s">
        <v>57</v>
      </c>
      <c r="D404">
        <v>2</v>
      </c>
      <c r="E404" t="s">
        <v>47</v>
      </c>
      <c r="F404">
        <v>5</v>
      </c>
      <c r="G404" t="s">
        <v>40</v>
      </c>
      <c r="H404" t="s">
        <v>36</v>
      </c>
      <c r="I404" t="s">
        <v>31</v>
      </c>
      <c r="J404" t="s">
        <v>37</v>
      </c>
      <c r="K404" s="2">
        <v>25254.78</v>
      </c>
      <c r="L404" s="2">
        <v>14881.97</v>
      </c>
      <c r="M404" s="2">
        <v>10372.81</v>
      </c>
      <c r="N404" s="2">
        <v>1836.29</v>
      </c>
      <c r="O404" s="2">
        <v>8536.52</v>
      </c>
      <c r="P404" s="3">
        <v>33.799999999999997</v>
      </c>
      <c r="Q404" s="2">
        <v>2654171.86</v>
      </c>
      <c r="R404" s="2">
        <v>1578782.26</v>
      </c>
      <c r="S404" s="2">
        <v>1075389.6000000001</v>
      </c>
      <c r="T404" s="2">
        <v>-13031.06</v>
      </c>
      <c r="U404" s="2">
        <v>-14617.66</v>
      </c>
      <c r="V404" s="2">
        <v>11297.93</v>
      </c>
      <c r="W404" s="2">
        <v>-16350.79</v>
      </c>
    </row>
    <row r="405" spans="1:23" ht="15.75" customHeight="1">
      <c r="A405">
        <v>592</v>
      </c>
      <c r="B405" s="1">
        <v>45440</v>
      </c>
      <c r="C405" t="s">
        <v>57</v>
      </c>
      <c r="D405">
        <v>2</v>
      </c>
      <c r="E405" t="s">
        <v>47</v>
      </c>
      <c r="F405">
        <v>5</v>
      </c>
      <c r="G405" t="s">
        <v>43</v>
      </c>
      <c r="H405" t="s">
        <v>36</v>
      </c>
      <c r="I405" t="s">
        <v>38</v>
      </c>
      <c r="J405" t="s">
        <v>44</v>
      </c>
      <c r="K405" s="2">
        <v>148424.28</v>
      </c>
      <c r="L405" s="2">
        <v>98811.24</v>
      </c>
      <c r="M405" s="2">
        <v>49613.04</v>
      </c>
      <c r="N405" s="2">
        <v>12067.73</v>
      </c>
      <c r="O405" s="2">
        <v>37545.31</v>
      </c>
      <c r="P405" s="3">
        <v>25.3</v>
      </c>
      <c r="Q405" s="2">
        <v>3471511.24</v>
      </c>
      <c r="R405" s="2">
        <v>1593714.51</v>
      </c>
      <c r="S405" s="2">
        <v>1877796.73</v>
      </c>
      <c r="T405" s="2">
        <v>9432.67</v>
      </c>
      <c r="U405" s="2">
        <v>-28626.71</v>
      </c>
      <c r="V405" s="2">
        <v>-10075.16</v>
      </c>
      <c r="W405" s="2">
        <v>-29269.200000000001</v>
      </c>
    </row>
    <row r="406" spans="1:23" ht="15.75" customHeight="1">
      <c r="A406">
        <v>238</v>
      </c>
      <c r="B406" s="1">
        <v>45445</v>
      </c>
      <c r="C406" t="s">
        <v>57</v>
      </c>
      <c r="D406">
        <v>2</v>
      </c>
      <c r="E406" t="s">
        <v>48</v>
      </c>
      <c r="F406">
        <v>6</v>
      </c>
      <c r="G406" t="s">
        <v>25</v>
      </c>
      <c r="H406" t="s">
        <v>36</v>
      </c>
      <c r="I406" t="s">
        <v>38</v>
      </c>
      <c r="J406" t="s">
        <v>37</v>
      </c>
      <c r="K406" s="2">
        <v>92086.48</v>
      </c>
      <c r="L406" s="2">
        <v>42934.67</v>
      </c>
      <c r="M406" s="2">
        <v>49151.81</v>
      </c>
      <c r="N406" s="2">
        <v>5317.12</v>
      </c>
      <c r="O406" s="2">
        <v>43834.69</v>
      </c>
      <c r="P406" s="3">
        <v>47.6</v>
      </c>
      <c r="Q406" s="2">
        <v>2504937.37</v>
      </c>
      <c r="R406" s="2">
        <v>835832.94</v>
      </c>
      <c r="S406" s="2">
        <v>1669104.43</v>
      </c>
      <c r="T406" s="2">
        <v>17833.009999999998</v>
      </c>
      <c r="U406" s="2">
        <v>14364.97</v>
      </c>
      <c r="V406" s="2">
        <v>58119.25</v>
      </c>
      <c r="W406" s="2">
        <v>90317.23</v>
      </c>
    </row>
    <row r="407" spans="1:23" ht="15.75" customHeight="1">
      <c r="A407">
        <v>222</v>
      </c>
      <c r="B407" s="1">
        <v>45445</v>
      </c>
      <c r="C407" t="s">
        <v>57</v>
      </c>
      <c r="D407">
        <v>2</v>
      </c>
      <c r="E407" t="s">
        <v>48</v>
      </c>
      <c r="F407">
        <v>6</v>
      </c>
      <c r="G407" t="s">
        <v>43</v>
      </c>
      <c r="H407" t="s">
        <v>36</v>
      </c>
      <c r="I407" t="s">
        <v>38</v>
      </c>
      <c r="J407" t="s">
        <v>28</v>
      </c>
      <c r="K407" s="2">
        <v>63257.7</v>
      </c>
      <c r="L407" s="2">
        <v>45807.08</v>
      </c>
      <c r="M407" s="2">
        <v>17450.62</v>
      </c>
      <c r="N407" s="2">
        <v>2334.3000000000002</v>
      </c>
      <c r="O407" s="2">
        <v>15116.32</v>
      </c>
      <c r="P407" s="3">
        <v>23.9</v>
      </c>
      <c r="Q407" s="2">
        <v>958515.75</v>
      </c>
      <c r="R407" s="2">
        <v>377744.89</v>
      </c>
      <c r="S407" s="2">
        <v>580770.86</v>
      </c>
      <c r="T407" s="2">
        <v>6747.78</v>
      </c>
      <c r="U407" s="2">
        <v>14271.19</v>
      </c>
      <c r="V407" s="2">
        <v>-8665.2099999999991</v>
      </c>
      <c r="W407" s="2">
        <v>12353.76</v>
      </c>
    </row>
    <row r="408" spans="1:23" ht="15.75" customHeight="1">
      <c r="A408">
        <v>269</v>
      </c>
      <c r="B408" s="1">
        <v>45445</v>
      </c>
      <c r="C408" t="s">
        <v>57</v>
      </c>
      <c r="D408">
        <v>2</v>
      </c>
      <c r="E408" t="s">
        <v>48</v>
      </c>
      <c r="F408">
        <v>6</v>
      </c>
      <c r="G408" t="s">
        <v>40</v>
      </c>
      <c r="H408" t="s">
        <v>34</v>
      </c>
      <c r="I408" t="s">
        <v>31</v>
      </c>
      <c r="J408" t="s">
        <v>32</v>
      </c>
      <c r="K408" s="2">
        <v>27386.21</v>
      </c>
      <c r="L408" s="2">
        <v>18230.52</v>
      </c>
      <c r="M408" s="2">
        <v>9155.69</v>
      </c>
      <c r="N408" s="2">
        <v>1126.4000000000001</v>
      </c>
      <c r="O408" s="2">
        <v>8029.29</v>
      </c>
      <c r="P408" s="3">
        <v>29.32</v>
      </c>
      <c r="Q408" s="2">
        <v>2526144.11</v>
      </c>
      <c r="R408" s="2">
        <v>1599131.08</v>
      </c>
      <c r="S408" s="2">
        <v>927013.03</v>
      </c>
      <c r="T408" s="2">
        <v>9952.1200000000008</v>
      </c>
      <c r="U408" s="2">
        <v>13980.16</v>
      </c>
      <c r="V408" s="2">
        <v>-21145.94</v>
      </c>
      <c r="W408" s="2">
        <v>2786.34</v>
      </c>
    </row>
    <row r="409" spans="1:23" ht="15.75" customHeight="1">
      <c r="A409">
        <v>364</v>
      </c>
      <c r="B409" s="1">
        <v>45447</v>
      </c>
      <c r="C409" t="s">
        <v>57</v>
      </c>
      <c r="D409">
        <v>2</v>
      </c>
      <c r="E409" t="s">
        <v>48</v>
      </c>
      <c r="F409">
        <v>6</v>
      </c>
      <c r="G409" t="s">
        <v>43</v>
      </c>
      <c r="H409" t="s">
        <v>26</v>
      </c>
      <c r="I409" t="s">
        <v>35</v>
      </c>
      <c r="J409" t="s">
        <v>41</v>
      </c>
      <c r="K409" s="2">
        <v>45937.42</v>
      </c>
      <c r="L409" s="2">
        <v>23251.54</v>
      </c>
      <c r="M409" s="2">
        <v>22685.88</v>
      </c>
      <c r="N409" s="2">
        <v>5245.61</v>
      </c>
      <c r="O409" s="2">
        <v>17440.27</v>
      </c>
      <c r="P409" s="3">
        <v>37.97</v>
      </c>
      <c r="Q409" s="2">
        <v>4747677.28</v>
      </c>
      <c r="R409" s="2">
        <v>2641282.9700000002</v>
      </c>
      <c r="S409" s="2">
        <v>2106394.31</v>
      </c>
      <c r="T409" s="2">
        <v>-12127.34</v>
      </c>
      <c r="U409" s="2">
        <v>-69865.37</v>
      </c>
      <c r="V409" s="2">
        <v>-2189.92</v>
      </c>
      <c r="W409" s="2">
        <v>-84182.63</v>
      </c>
    </row>
    <row r="410" spans="1:23" ht="15.75" customHeight="1">
      <c r="A410">
        <v>220</v>
      </c>
      <c r="B410" s="1">
        <v>45451</v>
      </c>
      <c r="C410" t="s">
        <v>57</v>
      </c>
      <c r="D410">
        <v>2</v>
      </c>
      <c r="E410" t="s">
        <v>48</v>
      </c>
      <c r="F410">
        <v>6</v>
      </c>
      <c r="G410" t="s">
        <v>29</v>
      </c>
      <c r="H410" t="s">
        <v>30</v>
      </c>
      <c r="I410" t="s">
        <v>38</v>
      </c>
      <c r="J410" t="s">
        <v>32</v>
      </c>
      <c r="K410" s="2">
        <v>110637.65</v>
      </c>
      <c r="L410" s="2">
        <v>71080.58</v>
      </c>
      <c r="M410" s="2">
        <v>39557.07</v>
      </c>
      <c r="N410" s="2">
        <v>4125.3599999999997</v>
      </c>
      <c r="O410" s="2">
        <v>35431.71</v>
      </c>
      <c r="P410" s="3">
        <v>32.03</v>
      </c>
      <c r="Q410" s="2">
        <v>3989057.68</v>
      </c>
      <c r="R410" s="2">
        <v>1430331.49</v>
      </c>
      <c r="S410" s="2">
        <v>2558726.19</v>
      </c>
      <c r="T410" s="2">
        <v>45167.34</v>
      </c>
      <c r="U410" s="2">
        <v>-41572.589999999997</v>
      </c>
      <c r="V410" s="2">
        <v>-26617.16</v>
      </c>
      <c r="W410" s="2">
        <v>-23022.41</v>
      </c>
    </row>
    <row r="411" spans="1:23" ht="15.75" customHeight="1">
      <c r="A411">
        <v>246</v>
      </c>
      <c r="B411" s="1">
        <v>45453</v>
      </c>
      <c r="C411" t="s">
        <v>57</v>
      </c>
      <c r="D411">
        <v>2</v>
      </c>
      <c r="E411" t="s">
        <v>48</v>
      </c>
      <c r="F411">
        <v>6</v>
      </c>
      <c r="G411" t="s">
        <v>37</v>
      </c>
      <c r="H411" t="s">
        <v>34</v>
      </c>
      <c r="I411" t="s">
        <v>38</v>
      </c>
      <c r="J411" t="s">
        <v>41</v>
      </c>
      <c r="K411" s="2">
        <v>59232.18</v>
      </c>
      <c r="L411" s="2">
        <v>27507.67</v>
      </c>
      <c r="M411" s="2">
        <v>31724.51</v>
      </c>
      <c r="N411" s="2">
        <v>2732.22</v>
      </c>
      <c r="O411" s="2">
        <v>28992.29</v>
      </c>
      <c r="P411" s="3">
        <v>48.95</v>
      </c>
      <c r="Q411" s="2">
        <v>1288497.97</v>
      </c>
      <c r="R411" s="2">
        <v>768857.23</v>
      </c>
      <c r="S411" s="2">
        <v>519640.74</v>
      </c>
      <c r="T411" s="2">
        <v>21590.59</v>
      </c>
      <c r="U411" s="2">
        <v>25045.919999999998</v>
      </c>
      <c r="V411" s="2">
        <v>18162.23</v>
      </c>
      <c r="W411" s="2">
        <v>64798.74</v>
      </c>
    </row>
    <row r="412" spans="1:23" ht="15.75" customHeight="1">
      <c r="A412">
        <v>346</v>
      </c>
      <c r="B412" s="1">
        <v>45453</v>
      </c>
      <c r="C412" t="s">
        <v>57</v>
      </c>
      <c r="D412">
        <v>2</v>
      </c>
      <c r="E412" t="s">
        <v>48</v>
      </c>
      <c r="F412">
        <v>6</v>
      </c>
      <c r="G412" t="s">
        <v>25</v>
      </c>
      <c r="H412" t="s">
        <v>30</v>
      </c>
      <c r="I412" t="s">
        <v>35</v>
      </c>
      <c r="J412" t="s">
        <v>29</v>
      </c>
      <c r="K412" s="2">
        <v>169817.14</v>
      </c>
      <c r="L412" s="2">
        <v>133998.56</v>
      </c>
      <c r="M412" s="2">
        <v>35818.58</v>
      </c>
      <c r="N412" s="2">
        <v>6734.63</v>
      </c>
      <c r="O412" s="2">
        <v>29083.95</v>
      </c>
      <c r="P412" s="3">
        <v>17.13</v>
      </c>
      <c r="Q412" s="2">
        <v>3334192.94</v>
      </c>
      <c r="R412" s="2">
        <v>1371301.05</v>
      </c>
      <c r="S412" s="2">
        <v>1962891.89</v>
      </c>
      <c r="T412" s="2">
        <v>59275.78</v>
      </c>
      <c r="U412" s="2">
        <v>-16870.599999999999</v>
      </c>
      <c r="V412" s="2">
        <v>27743.81</v>
      </c>
      <c r="W412" s="2">
        <v>70148.990000000005</v>
      </c>
    </row>
    <row r="413" spans="1:23" ht="15.75" customHeight="1">
      <c r="A413">
        <v>239</v>
      </c>
      <c r="B413" s="1">
        <v>45454</v>
      </c>
      <c r="C413" t="s">
        <v>57</v>
      </c>
      <c r="D413">
        <v>2</v>
      </c>
      <c r="E413" t="s">
        <v>48</v>
      </c>
      <c r="F413">
        <v>6</v>
      </c>
      <c r="G413" t="s">
        <v>37</v>
      </c>
      <c r="H413" t="s">
        <v>26</v>
      </c>
      <c r="I413" t="s">
        <v>27</v>
      </c>
      <c r="J413" t="s">
        <v>29</v>
      </c>
      <c r="K413" s="2">
        <v>62506.46</v>
      </c>
      <c r="L413" s="2">
        <v>50344.7</v>
      </c>
      <c r="M413" s="2">
        <v>12161.76</v>
      </c>
      <c r="N413" s="2">
        <v>1380.08</v>
      </c>
      <c r="O413" s="2">
        <v>10781.68</v>
      </c>
      <c r="P413" s="3">
        <v>17.25</v>
      </c>
      <c r="Q413" s="2">
        <v>4781434.1500000004</v>
      </c>
      <c r="R413" s="2">
        <v>3098023.72</v>
      </c>
      <c r="S413" s="2">
        <v>1683410.43</v>
      </c>
      <c r="T413" s="2">
        <v>37719.5</v>
      </c>
      <c r="U413" s="2">
        <v>28114.37</v>
      </c>
      <c r="V413" s="2">
        <v>16953.98</v>
      </c>
      <c r="W413" s="2">
        <v>82787.850000000006</v>
      </c>
    </row>
    <row r="414" spans="1:23" ht="15.75" customHeight="1">
      <c r="A414">
        <v>574</v>
      </c>
      <c r="B414" s="1">
        <v>45457</v>
      </c>
      <c r="C414" t="s">
        <v>57</v>
      </c>
      <c r="D414">
        <v>2</v>
      </c>
      <c r="E414" t="s">
        <v>48</v>
      </c>
      <c r="F414">
        <v>6</v>
      </c>
      <c r="G414" t="s">
        <v>40</v>
      </c>
      <c r="H414" t="s">
        <v>26</v>
      </c>
      <c r="I414" t="s">
        <v>31</v>
      </c>
      <c r="J414" t="s">
        <v>39</v>
      </c>
      <c r="K414" s="2">
        <v>105630.16</v>
      </c>
      <c r="L414" s="2">
        <v>69644.56</v>
      </c>
      <c r="M414" s="2">
        <v>35985.599999999999</v>
      </c>
      <c r="N414" s="2">
        <v>2972.51</v>
      </c>
      <c r="O414" s="2">
        <v>33013.089999999997</v>
      </c>
      <c r="P414" s="3">
        <v>31.25</v>
      </c>
      <c r="Q414" s="2">
        <v>4012577.27</v>
      </c>
      <c r="R414" s="2">
        <v>1583535.24</v>
      </c>
      <c r="S414" s="2">
        <v>2429042.0299999998</v>
      </c>
      <c r="T414" s="2">
        <v>35526.57</v>
      </c>
      <c r="U414" s="2">
        <v>10936.95</v>
      </c>
      <c r="V414" s="2">
        <v>-2071.66</v>
      </c>
      <c r="W414" s="2">
        <v>44391.86</v>
      </c>
    </row>
    <row r="415" spans="1:23" ht="15.75" customHeight="1">
      <c r="A415">
        <v>184</v>
      </c>
      <c r="B415" s="1">
        <v>45461</v>
      </c>
      <c r="C415" t="s">
        <v>57</v>
      </c>
      <c r="D415">
        <v>2</v>
      </c>
      <c r="E415" t="s">
        <v>48</v>
      </c>
      <c r="F415">
        <v>6</v>
      </c>
      <c r="G415" t="s">
        <v>25</v>
      </c>
      <c r="H415" t="s">
        <v>30</v>
      </c>
      <c r="I415" t="s">
        <v>27</v>
      </c>
      <c r="J415" t="s">
        <v>28</v>
      </c>
      <c r="K415" s="2">
        <v>58858.69</v>
      </c>
      <c r="L415" s="2">
        <v>29105.119999999999</v>
      </c>
      <c r="M415" s="2">
        <v>29753.57</v>
      </c>
      <c r="N415" s="2">
        <v>2725.96</v>
      </c>
      <c r="O415" s="2">
        <v>27027.61</v>
      </c>
      <c r="P415" s="3">
        <v>45.92</v>
      </c>
      <c r="Q415" s="2">
        <v>1684921.03</v>
      </c>
      <c r="R415" s="2">
        <v>452316.08</v>
      </c>
      <c r="S415" s="2">
        <v>1232604.95</v>
      </c>
      <c r="T415" s="2">
        <v>42401.27</v>
      </c>
      <c r="U415" s="2">
        <v>-41617.160000000003</v>
      </c>
      <c r="V415" s="2">
        <v>42453.48</v>
      </c>
      <c r="W415" s="2">
        <v>43237.59</v>
      </c>
    </row>
    <row r="416" spans="1:23" ht="15.75" customHeight="1">
      <c r="A416">
        <v>200</v>
      </c>
      <c r="B416" s="1">
        <v>45463</v>
      </c>
      <c r="C416" t="s">
        <v>57</v>
      </c>
      <c r="D416">
        <v>2</v>
      </c>
      <c r="E416" t="s">
        <v>48</v>
      </c>
      <c r="F416">
        <v>6</v>
      </c>
      <c r="G416" t="s">
        <v>33</v>
      </c>
      <c r="H416" t="s">
        <v>26</v>
      </c>
      <c r="I416" t="s">
        <v>38</v>
      </c>
      <c r="J416" t="s">
        <v>44</v>
      </c>
      <c r="K416" s="2">
        <v>82358.11</v>
      </c>
      <c r="L416" s="2">
        <v>37896.71</v>
      </c>
      <c r="M416" s="2">
        <v>44461.4</v>
      </c>
      <c r="N416" s="2">
        <v>6527.18</v>
      </c>
      <c r="O416" s="2">
        <v>37934.22</v>
      </c>
      <c r="P416" s="3">
        <v>46.06</v>
      </c>
      <c r="Q416" s="2">
        <v>2866156.69</v>
      </c>
      <c r="R416" s="2">
        <v>1303162.78</v>
      </c>
      <c r="S416" s="2">
        <v>1562993.91</v>
      </c>
      <c r="T416" s="2">
        <v>21184.49</v>
      </c>
      <c r="U416" s="2">
        <v>-5425.95</v>
      </c>
      <c r="V416" s="2">
        <v>-35522.15</v>
      </c>
      <c r="W416" s="2">
        <v>-19763.61</v>
      </c>
    </row>
    <row r="417" spans="1:23" ht="15.75" customHeight="1">
      <c r="A417">
        <v>54</v>
      </c>
      <c r="B417" s="1">
        <v>45464</v>
      </c>
      <c r="C417" t="s">
        <v>57</v>
      </c>
      <c r="D417">
        <v>2</v>
      </c>
      <c r="E417" t="s">
        <v>48</v>
      </c>
      <c r="F417">
        <v>6</v>
      </c>
      <c r="G417" t="s">
        <v>40</v>
      </c>
      <c r="H417" t="s">
        <v>34</v>
      </c>
      <c r="I417" t="s">
        <v>35</v>
      </c>
      <c r="J417" t="s">
        <v>39</v>
      </c>
      <c r="K417" s="2">
        <v>103353.72</v>
      </c>
      <c r="L417" s="2">
        <v>69264.37</v>
      </c>
      <c r="M417" s="2">
        <v>34089.35</v>
      </c>
      <c r="N417" s="2">
        <v>4693.29</v>
      </c>
      <c r="O417" s="2">
        <v>29396.06</v>
      </c>
      <c r="P417" s="3">
        <v>28.44</v>
      </c>
      <c r="Q417" s="2">
        <v>3062495.83</v>
      </c>
      <c r="R417" s="2">
        <v>1852761.57</v>
      </c>
      <c r="S417" s="2">
        <v>1209734.26</v>
      </c>
      <c r="T417" s="2">
        <v>43933.79</v>
      </c>
      <c r="U417" s="2">
        <v>2081.31</v>
      </c>
      <c r="V417" s="2">
        <v>40531.5</v>
      </c>
      <c r="W417" s="2">
        <v>86546.6</v>
      </c>
    </row>
    <row r="418" spans="1:23" ht="15.75" customHeight="1">
      <c r="A418">
        <v>106</v>
      </c>
      <c r="B418" s="1">
        <v>45472</v>
      </c>
      <c r="C418" t="s">
        <v>57</v>
      </c>
      <c r="D418">
        <v>2</v>
      </c>
      <c r="E418" t="s">
        <v>48</v>
      </c>
      <c r="F418">
        <v>6</v>
      </c>
      <c r="G418" t="s">
        <v>40</v>
      </c>
      <c r="H418" t="s">
        <v>34</v>
      </c>
      <c r="I418" t="s">
        <v>31</v>
      </c>
      <c r="J418" t="s">
        <v>44</v>
      </c>
      <c r="K418" s="2">
        <v>107331.28</v>
      </c>
      <c r="L418" s="2">
        <v>85494.1</v>
      </c>
      <c r="M418" s="2">
        <v>21837.18</v>
      </c>
      <c r="N418" s="2">
        <v>1893.03</v>
      </c>
      <c r="O418" s="2">
        <v>19944.150000000001</v>
      </c>
      <c r="P418" s="3">
        <v>18.579999999999998</v>
      </c>
      <c r="Q418" s="2">
        <v>1049494.6100000001</v>
      </c>
      <c r="R418" s="2">
        <v>452205.83</v>
      </c>
      <c r="S418" s="2">
        <v>597288.78</v>
      </c>
      <c r="T418" s="2">
        <v>64654.15</v>
      </c>
      <c r="U418" s="2">
        <v>-38384.39</v>
      </c>
      <c r="V418" s="2">
        <v>10723.48</v>
      </c>
      <c r="W418" s="2">
        <v>36993.24</v>
      </c>
    </row>
    <row r="419" spans="1:23" ht="15.75" customHeight="1">
      <c r="A419">
        <v>451</v>
      </c>
      <c r="B419" s="1">
        <v>45476</v>
      </c>
      <c r="C419" t="s">
        <v>57</v>
      </c>
      <c r="D419">
        <v>3</v>
      </c>
      <c r="E419" t="s">
        <v>49</v>
      </c>
      <c r="F419">
        <v>7</v>
      </c>
      <c r="G419" t="s">
        <v>43</v>
      </c>
      <c r="H419" t="s">
        <v>36</v>
      </c>
      <c r="I419" t="s">
        <v>35</v>
      </c>
      <c r="J419" t="s">
        <v>32</v>
      </c>
      <c r="K419" s="2">
        <v>141034.35</v>
      </c>
      <c r="L419" s="2">
        <v>88648.9</v>
      </c>
      <c r="M419" s="2">
        <v>52385.45</v>
      </c>
      <c r="N419" s="2">
        <v>6114.71</v>
      </c>
      <c r="O419" s="2">
        <v>46270.74</v>
      </c>
      <c r="P419" s="3">
        <v>32.81</v>
      </c>
      <c r="Q419" s="2">
        <v>4852720.3600000003</v>
      </c>
      <c r="R419" s="2">
        <v>2601300.79</v>
      </c>
      <c r="S419" s="2">
        <v>2251419.5699999998</v>
      </c>
      <c r="T419" s="2">
        <v>92841.53</v>
      </c>
      <c r="U419" s="2">
        <v>-27289.5</v>
      </c>
      <c r="V419" s="2">
        <v>7510.03</v>
      </c>
      <c r="W419" s="2">
        <v>73062.06</v>
      </c>
    </row>
    <row r="420" spans="1:23" ht="15.75" customHeight="1">
      <c r="A420">
        <v>230</v>
      </c>
      <c r="B420" s="1">
        <v>45479</v>
      </c>
      <c r="C420" t="s">
        <v>57</v>
      </c>
      <c r="D420">
        <v>3</v>
      </c>
      <c r="E420" t="s">
        <v>49</v>
      </c>
      <c r="F420">
        <v>7</v>
      </c>
      <c r="G420" t="s">
        <v>43</v>
      </c>
      <c r="H420" t="s">
        <v>36</v>
      </c>
      <c r="I420" t="s">
        <v>35</v>
      </c>
      <c r="J420" t="s">
        <v>28</v>
      </c>
      <c r="K420" s="2">
        <v>26538.19</v>
      </c>
      <c r="L420" s="2">
        <v>16499.2</v>
      </c>
      <c r="M420" s="2">
        <v>10038.99</v>
      </c>
      <c r="N420" s="2">
        <v>2447.4499999999998</v>
      </c>
      <c r="O420" s="2">
        <v>7591.54</v>
      </c>
      <c r="P420" s="3">
        <v>28.61</v>
      </c>
      <c r="Q420" s="2">
        <v>2835645.26</v>
      </c>
      <c r="R420" s="2">
        <v>1477419.12</v>
      </c>
      <c r="S420" s="2">
        <v>1358226.14</v>
      </c>
      <c r="T420" s="2">
        <v>2540.65</v>
      </c>
      <c r="U420" s="2">
        <v>7399.14</v>
      </c>
      <c r="V420" s="2">
        <v>37292.15</v>
      </c>
      <c r="W420" s="2">
        <v>47231.94</v>
      </c>
    </row>
    <row r="421" spans="1:23" ht="15.75" customHeight="1">
      <c r="A421">
        <v>252</v>
      </c>
      <c r="B421" s="1">
        <v>45488</v>
      </c>
      <c r="C421" t="s">
        <v>57</v>
      </c>
      <c r="D421">
        <v>3</v>
      </c>
      <c r="E421" t="s">
        <v>49</v>
      </c>
      <c r="F421">
        <v>7</v>
      </c>
      <c r="G421" t="s">
        <v>40</v>
      </c>
      <c r="H421" t="s">
        <v>34</v>
      </c>
      <c r="I421" t="s">
        <v>38</v>
      </c>
      <c r="J421" t="s">
        <v>37</v>
      </c>
      <c r="K421" s="2">
        <v>139993.93</v>
      </c>
      <c r="L421" s="2">
        <v>106943.8</v>
      </c>
      <c r="M421" s="2">
        <v>33050.129999999997</v>
      </c>
      <c r="N421" s="2">
        <v>5018.5600000000004</v>
      </c>
      <c r="O421" s="2">
        <v>28031.57</v>
      </c>
      <c r="P421" s="3">
        <v>20.02</v>
      </c>
      <c r="Q421" s="2">
        <v>1863189.08</v>
      </c>
      <c r="R421" s="2">
        <v>708231.81</v>
      </c>
      <c r="S421" s="2">
        <v>1154957.27</v>
      </c>
      <c r="T421" s="2">
        <v>55041.279999999999</v>
      </c>
      <c r="U421" s="2">
        <v>11677.95</v>
      </c>
      <c r="V421" s="2">
        <v>-21838.6</v>
      </c>
      <c r="W421" s="2">
        <v>44880.63</v>
      </c>
    </row>
    <row r="422" spans="1:23" ht="15.75" customHeight="1">
      <c r="A422">
        <v>4</v>
      </c>
      <c r="B422" s="1">
        <v>45491</v>
      </c>
      <c r="C422" t="s">
        <v>57</v>
      </c>
      <c r="D422">
        <v>3</v>
      </c>
      <c r="E422" t="s">
        <v>49</v>
      </c>
      <c r="F422">
        <v>7</v>
      </c>
      <c r="G422" t="s">
        <v>29</v>
      </c>
      <c r="H422" t="s">
        <v>36</v>
      </c>
      <c r="I422" t="s">
        <v>31</v>
      </c>
      <c r="J422" t="s">
        <v>28</v>
      </c>
      <c r="K422" s="2">
        <v>35751</v>
      </c>
      <c r="L422" s="2">
        <v>17421.03</v>
      </c>
      <c r="M422" s="2">
        <v>18329.97</v>
      </c>
      <c r="N422" s="2">
        <v>1523.18</v>
      </c>
      <c r="O422" s="2">
        <v>16806.79</v>
      </c>
      <c r="P422" s="3">
        <v>47.01</v>
      </c>
      <c r="Q422" s="2">
        <v>924993.32</v>
      </c>
      <c r="R422" s="2">
        <v>483959.01</v>
      </c>
      <c r="S422" s="2">
        <v>441034.31</v>
      </c>
      <c r="T422" s="2">
        <v>-7498.12</v>
      </c>
      <c r="U422" s="2">
        <v>-38102.44</v>
      </c>
      <c r="V422" s="2">
        <v>44487.53</v>
      </c>
      <c r="W422" s="2">
        <v>-1113.03</v>
      </c>
    </row>
    <row r="423" spans="1:23" ht="15.75" customHeight="1">
      <c r="A423">
        <v>102</v>
      </c>
      <c r="B423" s="1">
        <v>45491</v>
      </c>
      <c r="C423" t="s">
        <v>57</v>
      </c>
      <c r="D423">
        <v>3</v>
      </c>
      <c r="E423" t="s">
        <v>49</v>
      </c>
      <c r="F423">
        <v>7</v>
      </c>
      <c r="G423" t="s">
        <v>33</v>
      </c>
      <c r="H423" t="s">
        <v>34</v>
      </c>
      <c r="I423" t="s">
        <v>31</v>
      </c>
      <c r="J423" t="s">
        <v>28</v>
      </c>
      <c r="K423" s="2">
        <v>63320.82</v>
      </c>
      <c r="L423" s="2">
        <v>48894.91</v>
      </c>
      <c r="M423" s="2">
        <v>14425.91</v>
      </c>
      <c r="N423" s="2">
        <v>2246.14</v>
      </c>
      <c r="O423" s="2">
        <v>12179.77</v>
      </c>
      <c r="P423" s="3">
        <v>19.239999999999998</v>
      </c>
      <c r="Q423" s="2">
        <v>2816678.09</v>
      </c>
      <c r="R423" s="2">
        <v>1108907.43</v>
      </c>
      <c r="S423" s="2">
        <v>1707770.66</v>
      </c>
      <c r="T423" s="2">
        <v>29615.84</v>
      </c>
      <c r="U423" s="2">
        <v>-53647.61</v>
      </c>
      <c r="V423" s="2">
        <v>-891.85</v>
      </c>
      <c r="W423" s="2">
        <v>-24923.62</v>
      </c>
    </row>
    <row r="424" spans="1:23" ht="15.75" customHeight="1">
      <c r="A424">
        <v>576</v>
      </c>
      <c r="B424" s="1">
        <v>45492</v>
      </c>
      <c r="C424" t="s">
        <v>57</v>
      </c>
      <c r="D424">
        <v>3</v>
      </c>
      <c r="E424" t="s">
        <v>49</v>
      </c>
      <c r="F424">
        <v>7</v>
      </c>
      <c r="G424" t="s">
        <v>29</v>
      </c>
      <c r="H424" t="s">
        <v>26</v>
      </c>
      <c r="I424" t="s">
        <v>35</v>
      </c>
      <c r="J424" t="s">
        <v>41</v>
      </c>
      <c r="K424" s="2">
        <v>125862.28</v>
      </c>
      <c r="L424" s="2">
        <v>97005.07</v>
      </c>
      <c r="M424" s="2">
        <v>28857.21</v>
      </c>
      <c r="N424" s="2">
        <v>6694.16</v>
      </c>
      <c r="O424" s="2">
        <v>22163.05</v>
      </c>
      <c r="P424" s="3">
        <v>17.61</v>
      </c>
      <c r="Q424" s="2">
        <v>4639066.57</v>
      </c>
      <c r="R424" s="2">
        <v>1335771.33</v>
      </c>
      <c r="S424" s="2">
        <v>3303295.24</v>
      </c>
      <c r="T424" s="2">
        <v>35693.129999999997</v>
      </c>
      <c r="U424" s="2">
        <v>4050.95</v>
      </c>
      <c r="V424" s="2">
        <v>35692.68</v>
      </c>
      <c r="W424" s="2">
        <v>75436.759999999995</v>
      </c>
    </row>
    <row r="425" spans="1:23" ht="15.75" customHeight="1">
      <c r="A425">
        <v>63</v>
      </c>
      <c r="B425" s="1">
        <v>45494</v>
      </c>
      <c r="C425" t="s">
        <v>57</v>
      </c>
      <c r="D425">
        <v>3</v>
      </c>
      <c r="E425" t="s">
        <v>49</v>
      </c>
      <c r="F425">
        <v>7</v>
      </c>
      <c r="G425" t="s">
        <v>33</v>
      </c>
      <c r="H425" t="s">
        <v>34</v>
      </c>
      <c r="I425" t="s">
        <v>27</v>
      </c>
      <c r="J425" t="s">
        <v>32</v>
      </c>
      <c r="K425" s="2">
        <v>65650.929999999993</v>
      </c>
      <c r="L425" s="2">
        <v>43997.86</v>
      </c>
      <c r="M425" s="2">
        <v>21653.07</v>
      </c>
      <c r="N425" s="2">
        <v>1921.55</v>
      </c>
      <c r="O425" s="2">
        <v>19731.52</v>
      </c>
      <c r="P425" s="3">
        <v>30.06</v>
      </c>
      <c r="Q425" s="2">
        <v>2733648.11</v>
      </c>
      <c r="R425" s="2">
        <v>1336035.3600000001</v>
      </c>
      <c r="S425" s="2">
        <v>1397612.75</v>
      </c>
      <c r="T425" s="2">
        <v>16471.03</v>
      </c>
      <c r="U425" s="2">
        <v>7091.22</v>
      </c>
      <c r="V425" s="2">
        <v>-29340.17</v>
      </c>
      <c r="W425" s="2">
        <v>-5777.92</v>
      </c>
    </row>
    <row r="426" spans="1:23" ht="15.75" customHeight="1">
      <c r="A426">
        <v>383</v>
      </c>
      <c r="B426" s="1">
        <v>45497</v>
      </c>
      <c r="C426" t="s">
        <v>57</v>
      </c>
      <c r="D426">
        <v>3</v>
      </c>
      <c r="E426" t="s">
        <v>49</v>
      </c>
      <c r="F426">
        <v>7</v>
      </c>
      <c r="G426" t="s">
        <v>25</v>
      </c>
      <c r="H426" t="s">
        <v>36</v>
      </c>
      <c r="I426" t="s">
        <v>31</v>
      </c>
      <c r="J426" t="s">
        <v>28</v>
      </c>
      <c r="K426" s="2">
        <v>86526.94</v>
      </c>
      <c r="L426" s="2">
        <v>53516.2</v>
      </c>
      <c r="M426" s="2">
        <v>33010.74</v>
      </c>
      <c r="N426" s="2">
        <v>4969.54</v>
      </c>
      <c r="O426" s="2">
        <v>28041.200000000001</v>
      </c>
      <c r="P426" s="3">
        <v>32.409999999999997</v>
      </c>
      <c r="Q426" s="2">
        <v>3787216.15</v>
      </c>
      <c r="R426" s="2">
        <v>1151852.1499999999</v>
      </c>
      <c r="S426" s="2">
        <v>2635364</v>
      </c>
      <c r="T426" s="2">
        <v>13852.34</v>
      </c>
      <c r="U426" s="2">
        <v>-51948.18</v>
      </c>
      <c r="V426" s="2">
        <v>-13752.94</v>
      </c>
      <c r="W426" s="2">
        <v>-51848.78</v>
      </c>
    </row>
    <row r="427" spans="1:23" ht="15.75" customHeight="1">
      <c r="A427">
        <v>409</v>
      </c>
      <c r="B427" s="1">
        <v>45497</v>
      </c>
      <c r="C427" t="s">
        <v>57</v>
      </c>
      <c r="D427">
        <v>3</v>
      </c>
      <c r="E427" t="s">
        <v>49</v>
      </c>
      <c r="F427">
        <v>7</v>
      </c>
      <c r="G427" t="s">
        <v>29</v>
      </c>
      <c r="H427" t="s">
        <v>34</v>
      </c>
      <c r="I427" t="s">
        <v>35</v>
      </c>
      <c r="J427" t="s">
        <v>44</v>
      </c>
      <c r="K427" s="2">
        <v>117077.67</v>
      </c>
      <c r="L427" s="2">
        <v>78228</v>
      </c>
      <c r="M427" s="2">
        <v>38849.67</v>
      </c>
      <c r="N427" s="2">
        <v>3552.96</v>
      </c>
      <c r="O427" s="2">
        <v>35296.71</v>
      </c>
      <c r="P427" s="3">
        <v>30.15</v>
      </c>
      <c r="Q427" s="2">
        <v>4241933.54</v>
      </c>
      <c r="R427" s="2">
        <v>1361366.37</v>
      </c>
      <c r="S427" s="2">
        <v>2880567.17</v>
      </c>
      <c r="T427" s="2">
        <v>63142.44</v>
      </c>
      <c r="U427" s="2">
        <v>7267.1</v>
      </c>
      <c r="V427" s="2">
        <v>31489.95</v>
      </c>
      <c r="W427" s="2">
        <v>101899.49</v>
      </c>
    </row>
    <row r="428" spans="1:23" ht="15.75" customHeight="1">
      <c r="A428">
        <v>406</v>
      </c>
      <c r="B428" s="1">
        <v>45503</v>
      </c>
      <c r="C428" t="s">
        <v>57</v>
      </c>
      <c r="D428">
        <v>3</v>
      </c>
      <c r="E428" t="s">
        <v>49</v>
      </c>
      <c r="F428">
        <v>7</v>
      </c>
      <c r="G428" t="s">
        <v>25</v>
      </c>
      <c r="H428" t="s">
        <v>30</v>
      </c>
      <c r="I428" t="s">
        <v>27</v>
      </c>
      <c r="J428" t="s">
        <v>28</v>
      </c>
      <c r="K428" s="2">
        <v>69668.600000000006</v>
      </c>
      <c r="L428" s="2">
        <v>31517.5</v>
      </c>
      <c r="M428" s="2">
        <v>38151.1</v>
      </c>
      <c r="N428" s="2">
        <v>6270.54</v>
      </c>
      <c r="O428" s="2">
        <v>31880.560000000001</v>
      </c>
      <c r="P428" s="3">
        <v>45.76</v>
      </c>
      <c r="Q428" s="2">
        <v>1785316.95</v>
      </c>
      <c r="R428" s="2">
        <v>970932.7</v>
      </c>
      <c r="S428" s="2">
        <v>814384.25</v>
      </c>
      <c r="T428" s="2">
        <v>3796.26</v>
      </c>
      <c r="U428" s="2">
        <v>-11517.22</v>
      </c>
      <c r="V428" s="2">
        <v>54147.42</v>
      </c>
      <c r="W428" s="2">
        <v>46426.46</v>
      </c>
    </row>
    <row r="429" spans="1:23" ht="15.75" customHeight="1">
      <c r="A429">
        <v>225</v>
      </c>
      <c r="B429" s="1">
        <v>45503</v>
      </c>
      <c r="C429" t="s">
        <v>57</v>
      </c>
      <c r="D429">
        <v>3</v>
      </c>
      <c r="E429" t="s">
        <v>49</v>
      </c>
      <c r="F429">
        <v>7</v>
      </c>
      <c r="G429" t="s">
        <v>29</v>
      </c>
      <c r="H429" t="s">
        <v>34</v>
      </c>
      <c r="I429" t="s">
        <v>31</v>
      </c>
      <c r="J429" t="s">
        <v>28</v>
      </c>
      <c r="K429" s="2">
        <v>146182.70000000001</v>
      </c>
      <c r="L429" s="2">
        <v>100622.7</v>
      </c>
      <c r="M429" s="2">
        <v>45560</v>
      </c>
      <c r="N429" s="2">
        <v>4018.01</v>
      </c>
      <c r="O429" s="2">
        <v>41541.99</v>
      </c>
      <c r="P429" s="3">
        <v>28.42</v>
      </c>
      <c r="Q429" s="2">
        <v>2120227.1</v>
      </c>
      <c r="R429" s="2">
        <v>1341509.93</v>
      </c>
      <c r="S429" s="2">
        <v>778717.17</v>
      </c>
      <c r="T429" s="2">
        <v>51574.080000000002</v>
      </c>
      <c r="U429" s="2">
        <v>-26727.09</v>
      </c>
      <c r="V429" s="2">
        <v>5769.96</v>
      </c>
      <c r="W429" s="2">
        <v>30616.95</v>
      </c>
    </row>
    <row r="430" spans="1:23" ht="15.75" customHeight="1">
      <c r="A430">
        <v>591</v>
      </c>
      <c r="B430" s="1">
        <v>45505</v>
      </c>
      <c r="C430" t="s">
        <v>57</v>
      </c>
      <c r="D430">
        <v>3</v>
      </c>
      <c r="E430" t="s">
        <v>50</v>
      </c>
      <c r="F430">
        <v>8</v>
      </c>
      <c r="G430" t="s">
        <v>25</v>
      </c>
      <c r="H430" t="s">
        <v>26</v>
      </c>
      <c r="I430" t="s">
        <v>35</v>
      </c>
      <c r="J430" t="s">
        <v>28</v>
      </c>
      <c r="K430" s="2">
        <v>137726.60999999999</v>
      </c>
      <c r="L430" s="2">
        <v>94272.35</v>
      </c>
      <c r="M430" s="2">
        <v>43454.26</v>
      </c>
      <c r="N430" s="2">
        <v>4514.3</v>
      </c>
      <c r="O430" s="2">
        <v>38939.96</v>
      </c>
      <c r="P430" s="3">
        <v>28.27</v>
      </c>
      <c r="Q430" s="2">
        <v>2493279.5499999998</v>
      </c>
      <c r="R430" s="2">
        <v>1183249.02</v>
      </c>
      <c r="S430" s="2">
        <v>1310030.53</v>
      </c>
      <c r="T430" s="2">
        <v>76863.460000000006</v>
      </c>
      <c r="U430" s="2">
        <v>-25635.43</v>
      </c>
      <c r="V430" s="2">
        <v>51874.73</v>
      </c>
      <c r="W430" s="2">
        <v>103102.76</v>
      </c>
    </row>
    <row r="431" spans="1:23" ht="15.75" customHeight="1">
      <c r="A431">
        <v>463</v>
      </c>
      <c r="B431" s="1">
        <v>45508</v>
      </c>
      <c r="C431" t="s">
        <v>57</v>
      </c>
      <c r="D431">
        <v>3</v>
      </c>
      <c r="E431" t="s">
        <v>50</v>
      </c>
      <c r="F431">
        <v>8</v>
      </c>
      <c r="G431" t="s">
        <v>33</v>
      </c>
      <c r="H431" t="s">
        <v>26</v>
      </c>
      <c r="I431" t="s">
        <v>31</v>
      </c>
      <c r="J431" t="s">
        <v>29</v>
      </c>
      <c r="K431" s="2">
        <v>153336.35</v>
      </c>
      <c r="L431" s="2">
        <v>90446.64</v>
      </c>
      <c r="M431" s="2">
        <v>62889.71</v>
      </c>
      <c r="N431" s="2">
        <v>15521.23</v>
      </c>
      <c r="O431" s="2">
        <v>47368.480000000003</v>
      </c>
      <c r="P431" s="3">
        <v>30.89</v>
      </c>
      <c r="Q431" s="2">
        <v>2598139.77</v>
      </c>
      <c r="R431" s="2">
        <v>1472558.72</v>
      </c>
      <c r="S431" s="2">
        <v>1125581.05</v>
      </c>
      <c r="T431" s="2">
        <v>49553.04</v>
      </c>
      <c r="U431" s="2">
        <v>-27504.65</v>
      </c>
      <c r="V431" s="2">
        <v>-1711.69</v>
      </c>
      <c r="W431" s="2">
        <v>20336.7</v>
      </c>
    </row>
    <row r="432" spans="1:23" ht="15.75" customHeight="1">
      <c r="A432">
        <v>326</v>
      </c>
      <c r="B432" s="1">
        <v>45518</v>
      </c>
      <c r="C432" t="s">
        <v>57</v>
      </c>
      <c r="D432">
        <v>3</v>
      </c>
      <c r="E432" t="s">
        <v>50</v>
      </c>
      <c r="F432">
        <v>8</v>
      </c>
      <c r="G432" t="s">
        <v>40</v>
      </c>
      <c r="H432" t="s">
        <v>36</v>
      </c>
      <c r="I432" t="s">
        <v>31</v>
      </c>
      <c r="J432" t="s">
        <v>39</v>
      </c>
      <c r="K432" s="2">
        <v>119669.46</v>
      </c>
      <c r="L432" s="2">
        <v>62699.77</v>
      </c>
      <c r="M432" s="2">
        <v>56969.69</v>
      </c>
      <c r="N432" s="2">
        <v>5095.33</v>
      </c>
      <c r="O432" s="2">
        <v>51874.36</v>
      </c>
      <c r="P432" s="3">
        <v>43.35</v>
      </c>
      <c r="Q432" s="2">
        <v>3058092.04</v>
      </c>
      <c r="R432" s="2">
        <v>1561480.98</v>
      </c>
      <c r="S432" s="2">
        <v>1496611.06</v>
      </c>
      <c r="T432" s="2">
        <v>38736.879999999997</v>
      </c>
      <c r="U432" s="2">
        <v>-14354.38</v>
      </c>
      <c r="V432" s="2">
        <v>45649.34</v>
      </c>
      <c r="W432" s="2">
        <v>70031.839999999997</v>
      </c>
    </row>
    <row r="433" spans="1:23" ht="15.75" customHeight="1">
      <c r="A433">
        <v>338</v>
      </c>
      <c r="B433" s="1">
        <v>45524</v>
      </c>
      <c r="C433" t="s">
        <v>57</v>
      </c>
      <c r="D433">
        <v>3</v>
      </c>
      <c r="E433" t="s">
        <v>50</v>
      </c>
      <c r="F433">
        <v>8</v>
      </c>
      <c r="G433" t="s">
        <v>40</v>
      </c>
      <c r="H433" t="s">
        <v>34</v>
      </c>
      <c r="I433" t="s">
        <v>27</v>
      </c>
      <c r="J433" t="s">
        <v>37</v>
      </c>
      <c r="K433" s="2">
        <v>177452.92</v>
      </c>
      <c r="L433" s="2">
        <v>96903.17</v>
      </c>
      <c r="M433" s="2">
        <v>80549.75</v>
      </c>
      <c r="N433" s="2">
        <v>19722.849999999999</v>
      </c>
      <c r="O433" s="2">
        <v>60826.9</v>
      </c>
      <c r="P433" s="3">
        <v>34.28</v>
      </c>
      <c r="Q433" s="2">
        <v>2440552.41</v>
      </c>
      <c r="R433" s="2">
        <v>949393.24</v>
      </c>
      <c r="S433" s="2">
        <v>1491159.17</v>
      </c>
      <c r="T433" s="2">
        <v>34854.86</v>
      </c>
      <c r="U433" s="2">
        <v>-64723.47</v>
      </c>
      <c r="V433" s="2">
        <v>29201.13</v>
      </c>
      <c r="W433" s="2">
        <v>-667.48</v>
      </c>
    </row>
    <row r="434" spans="1:23" ht="15.75" customHeight="1">
      <c r="A434">
        <v>22</v>
      </c>
      <c r="B434" s="1">
        <v>45529</v>
      </c>
      <c r="C434" t="s">
        <v>57</v>
      </c>
      <c r="D434">
        <v>3</v>
      </c>
      <c r="E434" t="s">
        <v>50</v>
      </c>
      <c r="F434">
        <v>8</v>
      </c>
      <c r="G434" t="s">
        <v>40</v>
      </c>
      <c r="H434" t="s">
        <v>36</v>
      </c>
      <c r="I434" t="s">
        <v>38</v>
      </c>
      <c r="J434" t="s">
        <v>28</v>
      </c>
      <c r="K434" s="2">
        <v>151539.79</v>
      </c>
      <c r="L434" s="2">
        <v>122466.93</v>
      </c>
      <c r="M434" s="2">
        <v>29072.86</v>
      </c>
      <c r="N434" s="2">
        <v>2762.78</v>
      </c>
      <c r="O434" s="2">
        <v>26310.080000000002</v>
      </c>
      <c r="P434" s="3">
        <v>17.36</v>
      </c>
      <c r="Q434" s="2">
        <v>4063180.28</v>
      </c>
      <c r="R434" s="2">
        <v>1974633.94</v>
      </c>
      <c r="S434" s="2">
        <v>2088546.34</v>
      </c>
      <c r="T434" s="2">
        <v>34713.760000000002</v>
      </c>
      <c r="U434" s="2">
        <v>-27946.42</v>
      </c>
      <c r="V434" s="2">
        <v>38466.83</v>
      </c>
      <c r="W434" s="2">
        <v>45234.17</v>
      </c>
    </row>
    <row r="435" spans="1:23" ht="15.75" customHeight="1">
      <c r="A435">
        <v>34</v>
      </c>
      <c r="B435" s="1">
        <v>45534</v>
      </c>
      <c r="C435" t="s">
        <v>57</v>
      </c>
      <c r="D435">
        <v>3</v>
      </c>
      <c r="E435" t="s">
        <v>50</v>
      </c>
      <c r="F435">
        <v>8</v>
      </c>
      <c r="G435" t="s">
        <v>29</v>
      </c>
      <c r="H435" t="s">
        <v>30</v>
      </c>
      <c r="I435" t="s">
        <v>38</v>
      </c>
      <c r="J435" t="s">
        <v>29</v>
      </c>
      <c r="K435" s="2">
        <v>163974.59</v>
      </c>
      <c r="L435" s="2">
        <v>108734.73</v>
      </c>
      <c r="M435" s="2">
        <v>55239.86</v>
      </c>
      <c r="N435" s="2">
        <v>13034.25</v>
      </c>
      <c r="O435" s="2">
        <v>42205.61</v>
      </c>
      <c r="P435" s="3">
        <v>25.74</v>
      </c>
      <c r="Q435" s="2">
        <v>523850.03</v>
      </c>
      <c r="R435" s="2">
        <v>335278.09000000003</v>
      </c>
      <c r="S435" s="2">
        <v>188571.94</v>
      </c>
      <c r="T435" s="2">
        <v>51465.51</v>
      </c>
      <c r="U435" s="2">
        <v>2289.61</v>
      </c>
      <c r="V435" s="2">
        <v>42086.15</v>
      </c>
      <c r="W435" s="2">
        <v>95841.27</v>
      </c>
    </row>
    <row r="436" spans="1:23" ht="15.75" customHeight="1">
      <c r="A436">
        <v>459</v>
      </c>
      <c r="B436" s="1">
        <v>45543</v>
      </c>
      <c r="C436" t="s">
        <v>57</v>
      </c>
      <c r="D436">
        <v>3</v>
      </c>
      <c r="E436" t="s">
        <v>51</v>
      </c>
      <c r="F436">
        <v>9</v>
      </c>
      <c r="G436" t="s">
        <v>25</v>
      </c>
      <c r="H436" t="s">
        <v>36</v>
      </c>
      <c r="I436" t="s">
        <v>35</v>
      </c>
      <c r="J436" t="s">
        <v>41</v>
      </c>
      <c r="K436" s="2">
        <v>118382.72</v>
      </c>
      <c r="L436" s="2">
        <v>74725.63</v>
      </c>
      <c r="M436" s="2">
        <v>43657.09</v>
      </c>
      <c r="N436" s="2">
        <v>7416.1</v>
      </c>
      <c r="O436" s="2">
        <v>36240.99</v>
      </c>
      <c r="P436" s="3">
        <v>30.61</v>
      </c>
      <c r="Q436" s="2">
        <v>2004991.37</v>
      </c>
      <c r="R436" s="2">
        <v>917734.83</v>
      </c>
      <c r="S436" s="2">
        <v>1087256.54</v>
      </c>
      <c r="T436" s="2">
        <v>22045.46</v>
      </c>
      <c r="U436" s="2">
        <v>10517.44</v>
      </c>
      <c r="V436" s="2">
        <v>-21422.3</v>
      </c>
      <c r="W436" s="2">
        <v>11140.6</v>
      </c>
    </row>
    <row r="437" spans="1:23" ht="15.75" customHeight="1">
      <c r="A437">
        <v>452</v>
      </c>
      <c r="B437" s="1">
        <v>45543</v>
      </c>
      <c r="C437" t="s">
        <v>57</v>
      </c>
      <c r="D437">
        <v>3</v>
      </c>
      <c r="E437" t="s">
        <v>51</v>
      </c>
      <c r="F437">
        <v>9</v>
      </c>
      <c r="G437" t="s">
        <v>25</v>
      </c>
      <c r="H437" t="s">
        <v>30</v>
      </c>
      <c r="I437" t="s">
        <v>27</v>
      </c>
      <c r="J437" t="s">
        <v>39</v>
      </c>
      <c r="K437" s="2">
        <v>134628.23000000001</v>
      </c>
      <c r="L437" s="2">
        <v>73144.05</v>
      </c>
      <c r="M437" s="2">
        <v>61484.18</v>
      </c>
      <c r="N437" s="2">
        <v>9588.06</v>
      </c>
      <c r="O437" s="2">
        <v>51896.12</v>
      </c>
      <c r="P437" s="3">
        <v>38.549999999999997</v>
      </c>
      <c r="Q437" s="2">
        <v>1055524.3999999999</v>
      </c>
      <c r="R437" s="2">
        <v>350847.88</v>
      </c>
      <c r="S437" s="2">
        <v>704676.52</v>
      </c>
      <c r="T437" s="2">
        <v>21971.59</v>
      </c>
      <c r="U437" s="2">
        <v>-66073.490000000005</v>
      </c>
      <c r="V437" s="2">
        <v>57728.38</v>
      </c>
      <c r="W437" s="2">
        <v>13626.48</v>
      </c>
    </row>
    <row r="438" spans="1:23" ht="15.75" customHeight="1">
      <c r="A438">
        <v>301</v>
      </c>
      <c r="B438" s="1">
        <v>45546</v>
      </c>
      <c r="C438" t="s">
        <v>57</v>
      </c>
      <c r="D438">
        <v>3</v>
      </c>
      <c r="E438" t="s">
        <v>51</v>
      </c>
      <c r="F438">
        <v>9</v>
      </c>
      <c r="G438" t="s">
        <v>37</v>
      </c>
      <c r="H438" t="s">
        <v>36</v>
      </c>
      <c r="I438" t="s">
        <v>38</v>
      </c>
      <c r="J438" t="s">
        <v>28</v>
      </c>
      <c r="K438" s="2">
        <v>37434.449999999997</v>
      </c>
      <c r="L438" s="2">
        <v>21169.66</v>
      </c>
      <c r="M438" s="2">
        <v>16264.79</v>
      </c>
      <c r="N438" s="2">
        <v>1344.71</v>
      </c>
      <c r="O438" s="2">
        <v>14920.08</v>
      </c>
      <c r="P438" s="3">
        <v>39.86</v>
      </c>
      <c r="Q438" s="2">
        <v>577174.02</v>
      </c>
      <c r="R438" s="2">
        <v>355909.35</v>
      </c>
      <c r="S438" s="2">
        <v>221264.67</v>
      </c>
      <c r="T438" s="2">
        <v>41412.76</v>
      </c>
      <c r="U438" s="2">
        <v>-39104.400000000001</v>
      </c>
      <c r="V438" s="2">
        <v>-26735.54</v>
      </c>
      <c r="W438" s="2">
        <v>-24427.18</v>
      </c>
    </row>
    <row r="439" spans="1:23" ht="15.75" customHeight="1">
      <c r="A439">
        <v>215</v>
      </c>
      <c r="B439" s="1">
        <v>45551</v>
      </c>
      <c r="C439" t="s">
        <v>57</v>
      </c>
      <c r="D439">
        <v>3</v>
      </c>
      <c r="E439" t="s">
        <v>51</v>
      </c>
      <c r="F439">
        <v>9</v>
      </c>
      <c r="G439" t="s">
        <v>40</v>
      </c>
      <c r="H439" t="s">
        <v>30</v>
      </c>
      <c r="I439" t="s">
        <v>38</v>
      </c>
      <c r="J439" t="s">
        <v>28</v>
      </c>
      <c r="K439" s="2">
        <v>143747.97</v>
      </c>
      <c r="L439" s="2">
        <v>109678.39999999999</v>
      </c>
      <c r="M439" s="2">
        <v>34069.57</v>
      </c>
      <c r="N439" s="2">
        <v>6279.45</v>
      </c>
      <c r="O439" s="2">
        <v>27790.12</v>
      </c>
      <c r="P439" s="3">
        <v>19.329999999999998</v>
      </c>
      <c r="Q439" s="2">
        <v>898721.21</v>
      </c>
      <c r="R439" s="2">
        <v>399976.88</v>
      </c>
      <c r="S439" s="2">
        <v>498744.33</v>
      </c>
      <c r="T439" s="2">
        <v>4002.07</v>
      </c>
      <c r="U439" s="2">
        <v>-29245.7</v>
      </c>
      <c r="V439" s="2">
        <v>710.65</v>
      </c>
      <c r="W439" s="2">
        <v>-24532.98</v>
      </c>
    </row>
    <row r="440" spans="1:23" ht="15.75" customHeight="1">
      <c r="A440">
        <v>213</v>
      </c>
      <c r="B440" s="1">
        <v>45560</v>
      </c>
      <c r="C440" t="s">
        <v>57</v>
      </c>
      <c r="D440">
        <v>3</v>
      </c>
      <c r="E440" t="s">
        <v>51</v>
      </c>
      <c r="F440">
        <v>9</v>
      </c>
      <c r="G440" t="s">
        <v>37</v>
      </c>
      <c r="H440" t="s">
        <v>30</v>
      </c>
      <c r="I440" t="s">
        <v>31</v>
      </c>
      <c r="J440" t="s">
        <v>29</v>
      </c>
      <c r="K440" s="2">
        <v>106720.06</v>
      </c>
      <c r="L440" s="2">
        <v>73000.929999999993</v>
      </c>
      <c r="M440" s="2">
        <v>33719.129999999997</v>
      </c>
      <c r="N440" s="2">
        <v>6391.8</v>
      </c>
      <c r="O440" s="2">
        <v>27327.33</v>
      </c>
      <c r="P440" s="3">
        <v>25.61</v>
      </c>
      <c r="Q440" s="2">
        <v>4189090.12</v>
      </c>
      <c r="R440" s="2">
        <v>1605941.86</v>
      </c>
      <c r="S440" s="2">
        <v>2583148.2599999998</v>
      </c>
      <c r="T440" s="2">
        <v>55971.43</v>
      </c>
      <c r="U440" s="2">
        <v>-17142.189999999999</v>
      </c>
      <c r="V440" s="2">
        <v>39339.4</v>
      </c>
      <c r="W440" s="2">
        <v>78168.639999999999</v>
      </c>
    </row>
    <row r="441" spans="1:23" ht="15.75" customHeight="1">
      <c r="A441">
        <v>73</v>
      </c>
      <c r="B441" s="1">
        <v>45560</v>
      </c>
      <c r="C441" t="s">
        <v>57</v>
      </c>
      <c r="D441">
        <v>3</v>
      </c>
      <c r="E441" t="s">
        <v>51</v>
      </c>
      <c r="F441">
        <v>9</v>
      </c>
      <c r="G441" t="s">
        <v>37</v>
      </c>
      <c r="H441" t="s">
        <v>36</v>
      </c>
      <c r="I441" t="s">
        <v>27</v>
      </c>
      <c r="J441" t="s">
        <v>29</v>
      </c>
      <c r="K441" s="2">
        <v>130345.33</v>
      </c>
      <c r="L441" s="2">
        <v>69181.3</v>
      </c>
      <c r="M441" s="2">
        <v>61164.03</v>
      </c>
      <c r="N441" s="2">
        <v>14770.71</v>
      </c>
      <c r="O441" s="2">
        <v>46393.32</v>
      </c>
      <c r="P441" s="3">
        <v>35.590000000000003</v>
      </c>
      <c r="Q441" s="2">
        <v>4038552.56</v>
      </c>
      <c r="R441" s="2">
        <v>1154074.55</v>
      </c>
      <c r="S441" s="2">
        <v>2884478.01</v>
      </c>
      <c r="T441" s="2">
        <v>49799.78</v>
      </c>
      <c r="U441" s="2">
        <v>17911.830000000002</v>
      </c>
      <c r="V441" s="2">
        <v>54473.2</v>
      </c>
      <c r="W441" s="2">
        <v>122184.81</v>
      </c>
    </row>
    <row r="442" spans="1:23" ht="15.75" customHeight="1">
      <c r="A442">
        <v>513</v>
      </c>
      <c r="B442" s="1">
        <v>45562</v>
      </c>
      <c r="C442" t="s">
        <v>57</v>
      </c>
      <c r="D442">
        <v>3</v>
      </c>
      <c r="E442" t="s">
        <v>51</v>
      </c>
      <c r="F442">
        <v>9</v>
      </c>
      <c r="G442" t="s">
        <v>33</v>
      </c>
      <c r="H442" t="s">
        <v>34</v>
      </c>
      <c r="I442" t="s">
        <v>27</v>
      </c>
      <c r="J442" t="s">
        <v>28</v>
      </c>
      <c r="K442" s="2">
        <v>80069.02</v>
      </c>
      <c r="L442" s="2">
        <v>56250.84</v>
      </c>
      <c r="M442" s="2">
        <v>23818.18</v>
      </c>
      <c r="N442" s="2">
        <v>4586.8900000000003</v>
      </c>
      <c r="O442" s="2">
        <v>19231.29</v>
      </c>
      <c r="P442" s="3">
        <v>24.02</v>
      </c>
      <c r="Q442" s="2">
        <v>3718950.4</v>
      </c>
      <c r="R442" s="2">
        <v>1328622.1499999999</v>
      </c>
      <c r="S442" s="2">
        <v>2390328.25</v>
      </c>
      <c r="T442" s="2">
        <v>14484.77</v>
      </c>
      <c r="U442" s="2">
        <v>-57474.879999999997</v>
      </c>
      <c r="V442" s="2">
        <v>25551</v>
      </c>
      <c r="W442" s="2">
        <v>-17439.11</v>
      </c>
    </row>
    <row r="443" spans="1:23" ht="15.75" customHeight="1">
      <c r="A443">
        <v>127</v>
      </c>
      <c r="B443" s="1">
        <v>45564</v>
      </c>
      <c r="C443" t="s">
        <v>57</v>
      </c>
      <c r="D443">
        <v>3</v>
      </c>
      <c r="E443" t="s">
        <v>51</v>
      </c>
      <c r="F443">
        <v>9</v>
      </c>
      <c r="G443" t="s">
        <v>33</v>
      </c>
      <c r="H443" t="s">
        <v>26</v>
      </c>
      <c r="I443" t="s">
        <v>31</v>
      </c>
      <c r="J443" t="s">
        <v>41</v>
      </c>
      <c r="K443" s="2">
        <v>177091.64</v>
      </c>
      <c r="L443" s="2">
        <v>110807.66</v>
      </c>
      <c r="M443" s="2">
        <v>66283.98</v>
      </c>
      <c r="N443" s="2">
        <v>9613.1299999999992</v>
      </c>
      <c r="O443" s="2">
        <v>56670.85</v>
      </c>
      <c r="P443" s="3">
        <v>32</v>
      </c>
      <c r="Q443" s="2">
        <v>1039230.51</v>
      </c>
      <c r="R443" s="2">
        <v>664760.27</v>
      </c>
      <c r="S443" s="2">
        <v>374470.24</v>
      </c>
      <c r="T443" s="2">
        <v>28272.959999999999</v>
      </c>
      <c r="U443" s="2">
        <v>3718.02</v>
      </c>
      <c r="V443" s="2">
        <v>36859.980000000003</v>
      </c>
      <c r="W443" s="2">
        <v>68850.960000000006</v>
      </c>
    </row>
    <row r="444" spans="1:23" ht="15.75" customHeight="1">
      <c r="A444">
        <v>70</v>
      </c>
      <c r="B444" s="1">
        <v>45566</v>
      </c>
      <c r="C444" t="s">
        <v>57</v>
      </c>
      <c r="D444">
        <v>4</v>
      </c>
      <c r="E444" t="s">
        <v>52</v>
      </c>
      <c r="F444">
        <v>10</v>
      </c>
      <c r="G444" t="s">
        <v>43</v>
      </c>
      <c r="H444" t="s">
        <v>26</v>
      </c>
      <c r="I444" t="s">
        <v>31</v>
      </c>
      <c r="J444" t="s">
        <v>32</v>
      </c>
      <c r="K444" s="2">
        <v>28782.12</v>
      </c>
      <c r="L444" s="2">
        <v>22217.97</v>
      </c>
      <c r="M444" s="2">
        <v>6564.15</v>
      </c>
      <c r="N444" s="2">
        <v>548.87</v>
      </c>
      <c r="O444" s="2">
        <v>6015.28</v>
      </c>
      <c r="P444" s="3">
        <v>20.9</v>
      </c>
      <c r="Q444" s="2">
        <v>4436157.53</v>
      </c>
      <c r="R444" s="2">
        <v>2047618.76</v>
      </c>
      <c r="S444" s="2">
        <v>2388538.77</v>
      </c>
      <c r="T444" s="2">
        <v>51140.7</v>
      </c>
      <c r="U444" s="2">
        <v>9878.32</v>
      </c>
      <c r="V444" s="2">
        <v>59793.41</v>
      </c>
      <c r="W444" s="2">
        <v>120812.43</v>
      </c>
    </row>
    <row r="445" spans="1:23" ht="15.75" customHeight="1">
      <c r="A445">
        <v>554</v>
      </c>
      <c r="B445" s="1">
        <v>45566</v>
      </c>
      <c r="C445" t="s">
        <v>57</v>
      </c>
      <c r="D445">
        <v>4</v>
      </c>
      <c r="E445" t="s">
        <v>52</v>
      </c>
      <c r="F445">
        <v>10</v>
      </c>
      <c r="G445" t="s">
        <v>25</v>
      </c>
      <c r="H445" t="s">
        <v>26</v>
      </c>
      <c r="I445" t="s">
        <v>31</v>
      </c>
      <c r="J445" t="s">
        <v>37</v>
      </c>
      <c r="K445" s="2">
        <v>169835.13</v>
      </c>
      <c r="L445" s="2">
        <v>89404.22</v>
      </c>
      <c r="M445" s="2">
        <v>80430.91</v>
      </c>
      <c r="N445" s="2">
        <v>16484.669999999998</v>
      </c>
      <c r="O445" s="2">
        <v>63946.239999999998</v>
      </c>
      <c r="P445" s="3">
        <v>37.65</v>
      </c>
      <c r="Q445" s="2">
        <v>4399029.78</v>
      </c>
      <c r="R445" s="2">
        <v>2016307.93</v>
      </c>
      <c r="S445" s="2">
        <v>2382721.85</v>
      </c>
      <c r="T445" s="2">
        <v>87487.5</v>
      </c>
      <c r="U445" s="2">
        <v>11501.53</v>
      </c>
      <c r="V445" s="2">
        <v>-13932.48</v>
      </c>
      <c r="W445" s="2">
        <v>85056.55</v>
      </c>
    </row>
    <row r="446" spans="1:23" ht="15.75" customHeight="1">
      <c r="A446">
        <v>309</v>
      </c>
      <c r="B446" s="1">
        <v>45566</v>
      </c>
      <c r="C446" t="s">
        <v>57</v>
      </c>
      <c r="D446">
        <v>4</v>
      </c>
      <c r="E446" t="s">
        <v>52</v>
      </c>
      <c r="F446">
        <v>10</v>
      </c>
      <c r="G446" t="s">
        <v>25</v>
      </c>
      <c r="H446" t="s">
        <v>36</v>
      </c>
      <c r="I446" t="s">
        <v>31</v>
      </c>
      <c r="J446" t="s">
        <v>44</v>
      </c>
      <c r="K446" s="2">
        <v>139301.04</v>
      </c>
      <c r="L446" s="2">
        <v>77453.08</v>
      </c>
      <c r="M446" s="2">
        <v>61847.96</v>
      </c>
      <c r="N446" s="2">
        <v>13386.92</v>
      </c>
      <c r="O446" s="2">
        <v>48461.04</v>
      </c>
      <c r="P446" s="3">
        <v>34.79</v>
      </c>
      <c r="Q446" s="2">
        <v>4987570.55</v>
      </c>
      <c r="R446" s="2">
        <v>1306795.3700000001</v>
      </c>
      <c r="S446" s="2">
        <v>3680775.18</v>
      </c>
      <c r="T446" s="2">
        <v>90250.31</v>
      </c>
      <c r="U446" s="2">
        <v>-7736.95</v>
      </c>
      <c r="V446" s="2">
        <v>57338.26</v>
      </c>
      <c r="W446" s="2">
        <v>139851.62</v>
      </c>
    </row>
    <row r="447" spans="1:23" ht="15.75" customHeight="1">
      <c r="A447">
        <v>218</v>
      </c>
      <c r="B447" s="1">
        <v>45568</v>
      </c>
      <c r="C447" t="s">
        <v>57</v>
      </c>
      <c r="D447">
        <v>4</v>
      </c>
      <c r="E447" t="s">
        <v>52</v>
      </c>
      <c r="F447">
        <v>10</v>
      </c>
      <c r="G447" t="s">
        <v>40</v>
      </c>
      <c r="H447" t="s">
        <v>30</v>
      </c>
      <c r="I447" t="s">
        <v>27</v>
      </c>
      <c r="J447" t="s">
        <v>37</v>
      </c>
      <c r="K447" s="2">
        <v>74831.83</v>
      </c>
      <c r="L447" s="2">
        <v>46865.8</v>
      </c>
      <c r="M447" s="2">
        <v>27966.03</v>
      </c>
      <c r="N447" s="2">
        <v>3311.88</v>
      </c>
      <c r="O447" s="2">
        <v>24654.15</v>
      </c>
      <c r="P447" s="3">
        <v>32.950000000000003</v>
      </c>
      <c r="Q447" s="2">
        <v>3382142.19</v>
      </c>
      <c r="R447" s="2">
        <v>2169956.88</v>
      </c>
      <c r="S447" s="2">
        <v>1212185.31</v>
      </c>
      <c r="T447" s="2">
        <v>42933.599999999999</v>
      </c>
      <c r="U447" s="2">
        <v>-34218.589999999997</v>
      </c>
      <c r="V447" s="2">
        <v>24781.74</v>
      </c>
      <c r="W447" s="2">
        <v>33496.75</v>
      </c>
    </row>
    <row r="448" spans="1:23" ht="15.75" customHeight="1">
      <c r="A448">
        <v>437</v>
      </c>
      <c r="B448" s="1">
        <v>45569</v>
      </c>
      <c r="C448" t="s">
        <v>57</v>
      </c>
      <c r="D448">
        <v>4</v>
      </c>
      <c r="E448" t="s">
        <v>52</v>
      </c>
      <c r="F448">
        <v>10</v>
      </c>
      <c r="G448" t="s">
        <v>25</v>
      </c>
      <c r="H448" t="s">
        <v>34</v>
      </c>
      <c r="I448" t="s">
        <v>31</v>
      </c>
      <c r="J448" t="s">
        <v>39</v>
      </c>
      <c r="K448" s="2">
        <v>69790.12</v>
      </c>
      <c r="L448" s="2">
        <v>41141.97</v>
      </c>
      <c r="M448" s="2">
        <v>28648.15</v>
      </c>
      <c r="N448" s="2">
        <v>4207.3999999999996</v>
      </c>
      <c r="O448" s="2">
        <v>24440.75</v>
      </c>
      <c r="P448" s="3">
        <v>35.020000000000003</v>
      </c>
      <c r="Q448" s="2">
        <v>2950498.96</v>
      </c>
      <c r="R448" s="2">
        <v>926314.77</v>
      </c>
      <c r="S448" s="2">
        <v>2024184.19</v>
      </c>
      <c r="T448" s="2">
        <v>49740.480000000003</v>
      </c>
      <c r="U448" s="2">
        <v>-53243.35</v>
      </c>
      <c r="V448" s="2">
        <v>-8969.15</v>
      </c>
      <c r="W448" s="2">
        <v>-12472.02</v>
      </c>
    </row>
    <row r="449" spans="1:23" ht="15.75" customHeight="1">
      <c r="A449">
        <v>303</v>
      </c>
      <c r="B449" s="1">
        <v>45569</v>
      </c>
      <c r="C449" t="s">
        <v>57</v>
      </c>
      <c r="D449">
        <v>4</v>
      </c>
      <c r="E449" t="s">
        <v>52</v>
      </c>
      <c r="F449">
        <v>10</v>
      </c>
      <c r="G449" t="s">
        <v>40</v>
      </c>
      <c r="H449" t="s">
        <v>26</v>
      </c>
      <c r="I449" t="s">
        <v>31</v>
      </c>
      <c r="J449" t="s">
        <v>44</v>
      </c>
      <c r="K449" s="2">
        <v>159603.67000000001</v>
      </c>
      <c r="L449" s="2">
        <v>94210.41</v>
      </c>
      <c r="M449" s="2">
        <v>65393.26</v>
      </c>
      <c r="N449" s="2">
        <v>9361.2199999999993</v>
      </c>
      <c r="O449" s="2">
        <v>56032.04</v>
      </c>
      <c r="P449" s="3">
        <v>35.11</v>
      </c>
      <c r="Q449" s="2">
        <v>3283371.76</v>
      </c>
      <c r="R449" s="2">
        <v>1652288.09</v>
      </c>
      <c r="S449" s="2">
        <v>1631083.67</v>
      </c>
      <c r="T449" s="2">
        <v>63574.86</v>
      </c>
      <c r="U449" s="2">
        <v>-25694.06</v>
      </c>
      <c r="V449" s="2">
        <v>9414.77</v>
      </c>
      <c r="W449" s="2">
        <v>47295.57</v>
      </c>
    </row>
    <row r="450" spans="1:23" ht="15.75" customHeight="1">
      <c r="A450">
        <v>536</v>
      </c>
      <c r="B450" s="1">
        <v>45570</v>
      </c>
      <c r="C450" t="s">
        <v>57</v>
      </c>
      <c r="D450">
        <v>4</v>
      </c>
      <c r="E450" t="s">
        <v>52</v>
      </c>
      <c r="F450">
        <v>10</v>
      </c>
      <c r="G450" t="s">
        <v>29</v>
      </c>
      <c r="H450" t="s">
        <v>30</v>
      </c>
      <c r="I450" t="s">
        <v>38</v>
      </c>
      <c r="J450" t="s">
        <v>29</v>
      </c>
      <c r="K450" s="2">
        <v>179414.8</v>
      </c>
      <c r="L450" s="2">
        <v>112237.85</v>
      </c>
      <c r="M450" s="2">
        <v>67176.95</v>
      </c>
      <c r="N450" s="2">
        <v>14693.59</v>
      </c>
      <c r="O450" s="2">
        <v>52483.360000000001</v>
      </c>
      <c r="P450" s="3">
        <v>29.25</v>
      </c>
      <c r="Q450" s="2">
        <v>2444302.7799999998</v>
      </c>
      <c r="R450" s="2">
        <v>1389723.72</v>
      </c>
      <c r="S450" s="2">
        <v>1054579.06</v>
      </c>
      <c r="T450" s="2">
        <v>70116.539999999994</v>
      </c>
      <c r="U450" s="2">
        <v>18659.54</v>
      </c>
      <c r="V450" s="2">
        <v>1094.26</v>
      </c>
      <c r="W450" s="2">
        <v>89870.34</v>
      </c>
    </row>
    <row r="451" spans="1:23" ht="15.75" customHeight="1">
      <c r="A451">
        <v>499</v>
      </c>
      <c r="B451" s="1">
        <v>45574</v>
      </c>
      <c r="C451" t="s">
        <v>57</v>
      </c>
      <c r="D451">
        <v>4</v>
      </c>
      <c r="E451" t="s">
        <v>52</v>
      </c>
      <c r="F451">
        <v>10</v>
      </c>
      <c r="G451" t="s">
        <v>37</v>
      </c>
      <c r="H451" t="s">
        <v>30</v>
      </c>
      <c r="I451" t="s">
        <v>35</v>
      </c>
      <c r="J451" t="s">
        <v>32</v>
      </c>
      <c r="K451" s="2">
        <v>67027.05</v>
      </c>
      <c r="L451" s="2">
        <v>49018.32</v>
      </c>
      <c r="M451" s="2">
        <v>18008.73</v>
      </c>
      <c r="N451" s="2">
        <v>3652.35</v>
      </c>
      <c r="O451" s="2">
        <v>14356.38</v>
      </c>
      <c r="P451" s="3">
        <v>21.42</v>
      </c>
      <c r="Q451" s="2">
        <v>533263.56000000006</v>
      </c>
      <c r="R451" s="2">
        <v>241917.24</v>
      </c>
      <c r="S451" s="2">
        <v>291346.32</v>
      </c>
      <c r="T451" s="2">
        <v>-4498.0600000000004</v>
      </c>
      <c r="U451" s="2">
        <v>16622.7</v>
      </c>
      <c r="V451" s="2">
        <v>47158.59</v>
      </c>
      <c r="W451" s="2">
        <v>59283.23</v>
      </c>
    </row>
    <row r="452" spans="1:23" ht="15.75" customHeight="1">
      <c r="A452">
        <v>231</v>
      </c>
      <c r="B452" s="1">
        <v>45579</v>
      </c>
      <c r="C452" t="s">
        <v>57</v>
      </c>
      <c r="D452">
        <v>4</v>
      </c>
      <c r="E452" t="s">
        <v>52</v>
      </c>
      <c r="F452">
        <v>10</v>
      </c>
      <c r="G452" t="s">
        <v>29</v>
      </c>
      <c r="H452" t="s">
        <v>30</v>
      </c>
      <c r="I452" t="s">
        <v>35</v>
      </c>
      <c r="J452" t="s">
        <v>32</v>
      </c>
      <c r="K452" s="2">
        <v>114180.09</v>
      </c>
      <c r="L452" s="2">
        <v>54608.05</v>
      </c>
      <c r="M452" s="2">
        <v>59572.04</v>
      </c>
      <c r="N452" s="2">
        <v>8640.25</v>
      </c>
      <c r="O452" s="2">
        <v>50931.79</v>
      </c>
      <c r="P452" s="3">
        <v>44.61</v>
      </c>
      <c r="Q452" s="2">
        <v>2154801.4300000002</v>
      </c>
      <c r="R452" s="2">
        <v>695345.1</v>
      </c>
      <c r="S452" s="2">
        <v>1459456.33</v>
      </c>
      <c r="T452" s="2">
        <v>55772.4</v>
      </c>
      <c r="U452" s="2">
        <v>-36790.06</v>
      </c>
      <c r="V452" s="2">
        <v>-5819.63</v>
      </c>
      <c r="W452" s="2">
        <v>13162.71</v>
      </c>
    </row>
    <row r="453" spans="1:23" ht="15.75" customHeight="1">
      <c r="A453">
        <v>402</v>
      </c>
      <c r="B453" s="1">
        <v>45585</v>
      </c>
      <c r="C453" t="s">
        <v>57</v>
      </c>
      <c r="D453">
        <v>4</v>
      </c>
      <c r="E453" t="s">
        <v>52</v>
      </c>
      <c r="F453">
        <v>10</v>
      </c>
      <c r="G453" t="s">
        <v>29</v>
      </c>
      <c r="H453" t="s">
        <v>34</v>
      </c>
      <c r="I453" t="s">
        <v>27</v>
      </c>
      <c r="J453" t="s">
        <v>32</v>
      </c>
      <c r="K453" s="2">
        <v>113125.6</v>
      </c>
      <c r="L453" s="2">
        <v>53383.46</v>
      </c>
      <c r="M453" s="2">
        <v>59742.14</v>
      </c>
      <c r="N453" s="2">
        <v>11206.22</v>
      </c>
      <c r="O453" s="2">
        <v>48535.92</v>
      </c>
      <c r="P453" s="3">
        <v>42.9</v>
      </c>
      <c r="Q453" s="2">
        <v>3960140.2</v>
      </c>
      <c r="R453" s="2">
        <v>2564716.14</v>
      </c>
      <c r="S453" s="2">
        <v>1395424.06</v>
      </c>
      <c r="T453" s="2">
        <v>19422.2</v>
      </c>
      <c r="U453" s="2">
        <v>3017.35</v>
      </c>
      <c r="V453" s="2">
        <v>17178.93</v>
      </c>
      <c r="W453" s="2">
        <v>39618.480000000003</v>
      </c>
    </row>
    <row r="454" spans="1:23" ht="15.75" customHeight="1">
      <c r="A454">
        <v>75</v>
      </c>
      <c r="B454" s="1">
        <v>45587</v>
      </c>
      <c r="C454" t="s">
        <v>57</v>
      </c>
      <c r="D454">
        <v>4</v>
      </c>
      <c r="E454" t="s">
        <v>52</v>
      </c>
      <c r="F454">
        <v>10</v>
      </c>
      <c r="G454" t="s">
        <v>25</v>
      </c>
      <c r="H454" t="s">
        <v>30</v>
      </c>
      <c r="I454" t="s">
        <v>31</v>
      </c>
      <c r="J454" t="s">
        <v>28</v>
      </c>
      <c r="K454" s="2">
        <v>53897.93</v>
      </c>
      <c r="L454" s="2">
        <v>39800.720000000001</v>
      </c>
      <c r="M454" s="2">
        <v>14097.21</v>
      </c>
      <c r="N454" s="2">
        <v>1966.86</v>
      </c>
      <c r="O454" s="2">
        <v>12130.35</v>
      </c>
      <c r="P454" s="3">
        <v>22.51</v>
      </c>
      <c r="Q454" s="2">
        <v>760292.04</v>
      </c>
      <c r="R454" s="2">
        <v>484793.42</v>
      </c>
      <c r="S454" s="2">
        <v>275498.62</v>
      </c>
      <c r="T454" s="2">
        <v>52833.22</v>
      </c>
      <c r="U454" s="2">
        <v>22775.23</v>
      </c>
      <c r="V454" s="2">
        <v>59490.78</v>
      </c>
      <c r="W454" s="2">
        <v>135099.23000000001</v>
      </c>
    </row>
    <row r="455" spans="1:23" ht="15.75" customHeight="1">
      <c r="A455">
        <v>16</v>
      </c>
      <c r="B455" s="1">
        <v>45593</v>
      </c>
      <c r="C455" t="s">
        <v>57</v>
      </c>
      <c r="D455">
        <v>4</v>
      </c>
      <c r="E455" t="s">
        <v>52</v>
      </c>
      <c r="F455">
        <v>10</v>
      </c>
      <c r="G455" t="s">
        <v>37</v>
      </c>
      <c r="H455" t="s">
        <v>36</v>
      </c>
      <c r="I455" t="s">
        <v>38</v>
      </c>
      <c r="J455" t="s">
        <v>32</v>
      </c>
      <c r="K455" s="2">
        <v>77027.31</v>
      </c>
      <c r="L455" s="2">
        <v>39498.18</v>
      </c>
      <c r="M455" s="2">
        <v>37529.129999999997</v>
      </c>
      <c r="N455" s="2">
        <v>7129.19</v>
      </c>
      <c r="O455" s="2">
        <v>30399.94</v>
      </c>
      <c r="P455" s="3">
        <v>39.47</v>
      </c>
      <c r="Q455" s="2">
        <v>2247207.73</v>
      </c>
      <c r="R455" s="2">
        <v>768000.99</v>
      </c>
      <c r="S455" s="2">
        <v>1479206.74</v>
      </c>
      <c r="T455" s="2">
        <v>21674.97</v>
      </c>
      <c r="U455" s="2">
        <v>-33965.49</v>
      </c>
      <c r="V455" s="2">
        <v>-14005.01</v>
      </c>
      <c r="W455" s="2">
        <v>-26295.53</v>
      </c>
    </row>
    <row r="456" spans="1:23" ht="15.75" customHeight="1">
      <c r="A456">
        <v>431</v>
      </c>
      <c r="B456" s="1">
        <v>45593</v>
      </c>
      <c r="C456" t="s">
        <v>57</v>
      </c>
      <c r="D456">
        <v>4</v>
      </c>
      <c r="E456" t="s">
        <v>52</v>
      </c>
      <c r="F456">
        <v>10</v>
      </c>
      <c r="G456" t="s">
        <v>25</v>
      </c>
      <c r="H456" t="s">
        <v>36</v>
      </c>
      <c r="I456" t="s">
        <v>31</v>
      </c>
      <c r="J456" t="s">
        <v>32</v>
      </c>
      <c r="K456" s="2">
        <v>99900.97</v>
      </c>
      <c r="L456" s="2">
        <v>81434.429999999993</v>
      </c>
      <c r="M456" s="2">
        <v>18466.54</v>
      </c>
      <c r="N456" s="2">
        <v>3846.15</v>
      </c>
      <c r="O456" s="2">
        <v>14620.39</v>
      </c>
      <c r="P456" s="3">
        <v>14.63</v>
      </c>
      <c r="Q456" s="2">
        <v>1618721.98</v>
      </c>
      <c r="R456" s="2">
        <v>753285.21</v>
      </c>
      <c r="S456" s="2">
        <v>865436.77</v>
      </c>
      <c r="T456" s="2">
        <v>63991.24</v>
      </c>
      <c r="U456" s="2">
        <v>15753.06</v>
      </c>
      <c r="V456" s="2">
        <v>-30263.31</v>
      </c>
      <c r="W456" s="2">
        <v>49480.99</v>
      </c>
    </row>
    <row r="457" spans="1:23" ht="15.75" customHeight="1">
      <c r="A457">
        <v>242</v>
      </c>
      <c r="B457" s="1">
        <v>45594</v>
      </c>
      <c r="C457" t="s">
        <v>57</v>
      </c>
      <c r="D457">
        <v>4</v>
      </c>
      <c r="E457" t="s">
        <v>52</v>
      </c>
      <c r="F457">
        <v>10</v>
      </c>
      <c r="G457" t="s">
        <v>29</v>
      </c>
      <c r="H457" t="s">
        <v>34</v>
      </c>
      <c r="I457" t="s">
        <v>35</v>
      </c>
      <c r="J457" t="s">
        <v>29</v>
      </c>
      <c r="K457" s="2">
        <v>157557.07999999999</v>
      </c>
      <c r="L457" s="2">
        <v>106056.99</v>
      </c>
      <c r="M457" s="2">
        <v>51500.09</v>
      </c>
      <c r="N457" s="2">
        <v>11434.02</v>
      </c>
      <c r="O457" s="2">
        <v>40066.07</v>
      </c>
      <c r="P457" s="3">
        <v>25.43</v>
      </c>
      <c r="Q457" s="2">
        <v>4029893.86</v>
      </c>
      <c r="R457" s="2">
        <v>1615158.15</v>
      </c>
      <c r="S457" s="2">
        <v>2414735.71</v>
      </c>
      <c r="T457" s="2">
        <v>54225.29</v>
      </c>
      <c r="U457" s="2">
        <v>10475.31</v>
      </c>
      <c r="V457" s="2">
        <v>-35394.33</v>
      </c>
      <c r="W457" s="2">
        <v>29306.27</v>
      </c>
    </row>
    <row r="458" spans="1:23" ht="15.75" customHeight="1">
      <c r="A458">
        <v>396</v>
      </c>
      <c r="B458" s="1">
        <v>45595</v>
      </c>
      <c r="C458" t="s">
        <v>57</v>
      </c>
      <c r="D458">
        <v>4</v>
      </c>
      <c r="E458" t="s">
        <v>52</v>
      </c>
      <c r="F458">
        <v>10</v>
      </c>
      <c r="G458" t="s">
        <v>40</v>
      </c>
      <c r="H458" t="s">
        <v>34</v>
      </c>
      <c r="I458" t="s">
        <v>31</v>
      </c>
      <c r="J458" t="s">
        <v>28</v>
      </c>
      <c r="K458" s="2">
        <v>105377.06</v>
      </c>
      <c r="L458" s="2">
        <v>57005.15</v>
      </c>
      <c r="M458" s="2">
        <v>48371.91</v>
      </c>
      <c r="N458" s="2">
        <v>6814.82</v>
      </c>
      <c r="O458" s="2">
        <v>41557.089999999997</v>
      </c>
      <c r="P458" s="3">
        <v>39.44</v>
      </c>
      <c r="Q458" s="2">
        <v>4952774</v>
      </c>
      <c r="R458" s="2">
        <v>2593895.0299999998</v>
      </c>
      <c r="S458" s="2">
        <v>2358878.9700000002</v>
      </c>
      <c r="T458" s="2">
        <v>87475.54</v>
      </c>
      <c r="U458" s="2">
        <v>-55744.34</v>
      </c>
      <c r="V458" s="2">
        <v>-1786.05</v>
      </c>
      <c r="W458" s="2">
        <v>29945.15</v>
      </c>
    </row>
    <row r="459" spans="1:23" ht="15.75" customHeight="1">
      <c r="A459">
        <v>224</v>
      </c>
      <c r="B459" s="1">
        <v>45597</v>
      </c>
      <c r="C459" t="s">
        <v>57</v>
      </c>
      <c r="D459">
        <v>4</v>
      </c>
      <c r="E459" t="s">
        <v>53</v>
      </c>
      <c r="F459">
        <v>11</v>
      </c>
      <c r="G459" t="s">
        <v>40</v>
      </c>
      <c r="H459" t="s">
        <v>26</v>
      </c>
      <c r="I459" t="s">
        <v>27</v>
      </c>
      <c r="J459" t="s">
        <v>44</v>
      </c>
      <c r="K459" s="2">
        <v>25676.31</v>
      </c>
      <c r="L459" s="2">
        <v>13140.43</v>
      </c>
      <c r="M459" s="2">
        <v>12535.88</v>
      </c>
      <c r="N459" s="2">
        <v>2522.44</v>
      </c>
      <c r="O459" s="2">
        <v>10013.44</v>
      </c>
      <c r="P459" s="3">
        <v>39</v>
      </c>
      <c r="Q459" s="2">
        <v>3498734.36</v>
      </c>
      <c r="R459" s="2">
        <v>2226661.0299999998</v>
      </c>
      <c r="S459" s="2">
        <v>1272073.33</v>
      </c>
      <c r="T459" s="2">
        <v>40896.46</v>
      </c>
      <c r="U459" s="2">
        <v>25077.27</v>
      </c>
      <c r="V459" s="2">
        <v>30254.05</v>
      </c>
      <c r="W459" s="2">
        <v>96227.78</v>
      </c>
    </row>
    <row r="460" spans="1:23" ht="15.75" customHeight="1">
      <c r="A460">
        <v>223</v>
      </c>
      <c r="B460" s="1">
        <v>45605</v>
      </c>
      <c r="C460" t="s">
        <v>57</v>
      </c>
      <c r="D460">
        <v>4</v>
      </c>
      <c r="E460" t="s">
        <v>53</v>
      </c>
      <c r="F460">
        <v>11</v>
      </c>
      <c r="G460" t="s">
        <v>37</v>
      </c>
      <c r="H460" t="s">
        <v>26</v>
      </c>
      <c r="I460" t="s">
        <v>35</v>
      </c>
      <c r="J460" t="s">
        <v>37</v>
      </c>
      <c r="K460" s="2">
        <v>92241.7</v>
      </c>
      <c r="L460" s="2">
        <v>72564.600000000006</v>
      </c>
      <c r="M460" s="2">
        <v>19677.099999999999</v>
      </c>
      <c r="N460" s="2">
        <v>2836.34</v>
      </c>
      <c r="O460" s="2">
        <v>16840.759999999998</v>
      </c>
      <c r="P460" s="3">
        <v>18.260000000000002</v>
      </c>
      <c r="Q460" s="2">
        <v>4838352.87</v>
      </c>
      <c r="R460" s="2">
        <v>1382393.91</v>
      </c>
      <c r="S460" s="2">
        <v>3455958.96</v>
      </c>
      <c r="T460" s="2">
        <v>41802.300000000003</v>
      </c>
      <c r="U460" s="2">
        <v>-20618.599999999999</v>
      </c>
      <c r="V460" s="2">
        <v>-1235.1199999999999</v>
      </c>
      <c r="W460" s="2">
        <v>19948.580000000002</v>
      </c>
    </row>
    <row r="461" spans="1:23" ht="15.75" customHeight="1">
      <c r="A461">
        <v>254</v>
      </c>
      <c r="B461" s="1">
        <v>45606</v>
      </c>
      <c r="C461" t="s">
        <v>57</v>
      </c>
      <c r="D461">
        <v>4</v>
      </c>
      <c r="E461" t="s">
        <v>53</v>
      </c>
      <c r="F461">
        <v>11</v>
      </c>
      <c r="G461" t="s">
        <v>25</v>
      </c>
      <c r="H461" t="s">
        <v>26</v>
      </c>
      <c r="I461" t="s">
        <v>31</v>
      </c>
      <c r="J461" t="s">
        <v>32</v>
      </c>
      <c r="K461" s="2">
        <v>145997.92000000001</v>
      </c>
      <c r="L461" s="2">
        <v>97234.02</v>
      </c>
      <c r="M461" s="2">
        <v>48763.9</v>
      </c>
      <c r="N461" s="2">
        <v>11794.9</v>
      </c>
      <c r="O461" s="2">
        <v>36969</v>
      </c>
      <c r="P461" s="3">
        <v>25.32</v>
      </c>
      <c r="Q461" s="2">
        <v>690900.34</v>
      </c>
      <c r="R461" s="2">
        <v>246050.65</v>
      </c>
      <c r="S461" s="2">
        <v>444849.69</v>
      </c>
      <c r="T461" s="2">
        <v>55093.31</v>
      </c>
      <c r="U461" s="2">
        <v>-40344.01</v>
      </c>
      <c r="V461" s="2">
        <v>31442.42</v>
      </c>
      <c r="W461" s="2">
        <v>46191.72</v>
      </c>
    </row>
    <row r="462" spans="1:23" ht="15.75" customHeight="1">
      <c r="A462">
        <v>470</v>
      </c>
      <c r="B462" s="1">
        <v>45606</v>
      </c>
      <c r="C462" t="s">
        <v>57</v>
      </c>
      <c r="D462">
        <v>4</v>
      </c>
      <c r="E462" t="s">
        <v>53</v>
      </c>
      <c r="F462">
        <v>11</v>
      </c>
      <c r="G462" t="s">
        <v>25</v>
      </c>
      <c r="H462" t="s">
        <v>30</v>
      </c>
      <c r="I462" t="s">
        <v>38</v>
      </c>
      <c r="J462" t="s">
        <v>39</v>
      </c>
      <c r="K462" s="2">
        <v>57400.74</v>
      </c>
      <c r="L462" s="2">
        <v>40607.82</v>
      </c>
      <c r="M462" s="2">
        <v>16792.919999999998</v>
      </c>
      <c r="N462" s="2">
        <v>4038.96</v>
      </c>
      <c r="O462" s="2">
        <v>12753.96</v>
      </c>
      <c r="P462" s="3">
        <v>22.22</v>
      </c>
      <c r="Q462" s="2">
        <v>4979799.3600000003</v>
      </c>
      <c r="R462" s="2">
        <v>2141865.11</v>
      </c>
      <c r="S462" s="2">
        <v>2837934.25</v>
      </c>
      <c r="T462" s="2">
        <v>2956.39</v>
      </c>
      <c r="U462" s="2">
        <v>-25717.06</v>
      </c>
      <c r="V462" s="2">
        <v>44726.94</v>
      </c>
      <c r="W462" s="2">
        <v>21966.27</v>
      </c>
    </row>
    <row r="463" spans="1:23" ht="15.75" customHeight="1">
      <c r="A463">
        <v>255</v>
      </c>
      <c r="B463" s="1">
        <v>45607</v>
      </c>
      <c r="C463" t="s">
        <v>57</v>
      </c>
      <c r="D463">
        <v>4</v>
      </c>
      <c r="E463" t="s">
        <v>53</v>
      </c>
      <c r="F463">
        <v>11</v>
      </c>
      <c r="G463" t="s">
        <v>33</v>
      </c>
      <c r="H463" t="s">
        <v>30</v>
      </c>
      <c r="I463" t="s">
        <v>38</v>
      </c>
      <c r="J463" t="s">
        <v>29</v>
      </c>
      <c r="K463" s="2">
        <v>104647.44</v>
      </c>
      <c r="L463" s="2">
        <v>66795.360000000001</v>
      </c>
      <c r="M463" s="2">
        <v>37852.080000000002</v>
      </c>
      <c r="N463" s="2">
        <v>5404.43</v>
      </c>
      <c r="O463" s="2">
        <v>32447.65</v>
      </c>
      <c r="P463" s="3">
        <v>31.01</v>
      </c>
      <c r="Q463" s="2">
        <v>4698161.88</v>
      </c>
      <c r="R463" s="2">
        <v>2729643.93</v>
      </c>
      <c r="S463" s="2">
        <v>1968517.95</v>
      </c>
      <c r="T463" s="2">
        <v>58224.4</v>
      </c>
      <c r="U463" s="2">
        <v>1432.66</v>
      </c>
      <c r="V463" s="2">
        <v>6171.61</v>
      </c>
      <c r="W463" s="2">
        <v>65828.67</v>
      </c>
    </row>
    <row r="464" spans="1:23" ht="15.75" customHeight="1">
      <c r="A464">
        <v>85</v>
      </c>
      <c r="B464" s="1">
        <v>45608</v>
      </c>
      <c r="C464" t="s">
        <v>57</v>
      </c>
      <c r="D464">
        <v>4</v>
      </c>
      <c r="E464" t="s">
        <v>53</v>
      </c>
      <c r="F464">
        <v>11</v>
      </c>
      <c r="G464" t="s">
        <v>29</v>
      </c>
      <c r="H464" t="s">
        <v>36</v>
      </c>
      <c r="I464" t="s">
        <v>31</v>
      </c>
      <c r="J464" t="s">
        <v>41</v>
      </c>
      <c r="K464" s="2">
        <v>117131.36</v>
      </c>
      <c r="L464" s="2">
        <v>69334.33</v>
      </c>
      <c r="M464" s="2">
        <v>47797.03</v>
      </c>
      <c r="N464" s="2">
        <v>4357.01</v>
      </c>
      <c r="O464" s="2">
        <v>43440.02</v>
      </c>
      <c r="P464" s="3">
        <v>37.090000000000003</v>
      </c>
      <c r="Q464" s="2">
        <v>4196808.26</v>
      </c>
      <c r="R464" s="2">
        <v>1673407.68</v>
      </c>
      <c r="S464" s="2">
        <v>2523400.58</v>
      </c>
      <c r="T464" s="2">
        <v>78942.87</v>
      </c>
      <c r="U464" s="2">
        <v>-44749.13</v>
      </c>
      <c r="V464" s="2">
        <v>-39897.050000000003</v>
      </c>
      <c r="W464" s="2">
        <v>-5703.31</v>
      </c>
    </row>
    <row r="465" spans="1:23" ht="15.75" customHeight="1">
      <c r="A465">
        <v>88</v>
      </c>
      <c r="B465" s="1">
        <v>45610</v>
      </c>
      <c r="C465" t="s">
        <v>57</v>
      </c>
      <c r="D465">
        <v>4</v>
      </c>
      <c r="E465" t="s">
        <v>53</v>
      </c>
      <c r="F465">
        <v>11</v>
      </c>
      <c r="G465" t="s">
        <v>37</v>
      </c>
      <c r="H465" t="s">
        <v>34</v>
      </c>
      <c r="I465" t="s">
        <v>35</v>
      </c>
      <c r="J465" t="s">
        <v>39</v>
      </c>
      <c r="K465" s="2">
        <v>74715.12</v>
      </c>
      <c r="L465" s="2">
        <v>53648.17</v>
      </c>
      <c r="M465" s="2">
        <v>21066.95</v>
      </c>
      <c r="N465" s="2">
        <v>4356.4799999999996</v>
      </c>
      <c r="O465" s="2">
        <v>16710.47</v>
      </c>
      <c r="P465" s="3">
        <v>22.37</v>
      </c>
      <c r="Q465" s="2">
        <v>1401616.15</v>
      </c>
      <c r="R465" s="2">
        <v>837114.02</v>
      </c>
      <c r="S465" s="2">
        <v>564502.13</v>
      </c>
      <c r="T465" s="2">
        <v>43904.39</v>
      </c>
      <c r="U465" s="2">
        <v>-13724.97</v>
      </c>
      <c r="V465" s="2">
        <v>7153.25</v>
      </c>
      <c r="W465" s="2">
        <v>37332.67</v>
      </c>
    </row>
    <row r="466" spans="1:23" ht="15.75" customHeight="1">
      <c r="A466">
        <v>386</v>
      </c>
      <c r="B466" s="1">
        <v>45612</v>
      </c>
      <c r="C466" t="s">
        <v>57</v>
      </c>
      <c r="D466">
        <v>4</v>
      </c>
      <c r="E466" t="s">
        <v>53</v>
      </c>
      <c r="F466">
        <v>11</v>
      </c>
      <c r="G466" t="s">
        <v>40</v>
      </c>
      <c r="H466" t="s">
        <v>36</v>
      </c>
      <c r="I466" t="s">
        <v>38</v>
      </c>
      <c r="J466" t="s">
        <v>29</v>
      </c>
      <c r="K466" s="2">
        <v>48474.06</v>
      </c>
      <c r="L466" s="2">
        <v>29575.26</v>
      </c>
      <c r="M466" s="2">
        <v>18898.8</v>
      </c>
      <c r="N466" s="2">
        <v>3425.7</v>
      </c>
      <c r="O466" s="2">
        <v>15473.1</v>
      </c>
      <c r="P466" s="3">
        <v>31.92</v>
      </c>
      <c r="Q466" s="2">
        <v>862769.32</v>
      </c>
      <c r="R466" s="2">
        <v>539944.71</v>
      </c>
      <c r="S466" s="2">
        <v>322824.61</v>
      </c>
      <c r="T466" s="2">
        <v>45883.79</v>
      </c>
      <c r="U466" s="2">
        <v>-11337.61</v>
      </c>
      <c r="V466" s="2">
        <v>42843.87</v>
      </c>
      <c r="W466" s="2">
        <v>77390.05</v>
      </c>
    </row>
    <row r="467" spans="1:23" ht="15.75" customHeight="1">
      <c r="A467">
        <v>473</v>
      </c>
      <c r="B467" s="1">
        <v>45613</v>
      </c>
      <c r="C467" t="s">
        <v>57</v>
      </c>
      <c r="D467">
        <v>4</v>
      </c>
      <c r="E467" t="s">
        <v>53</v>
      </c>
      <c r="F467">
        <v>11</v>
      </c>
      <c r="G467" t="s">
        <v>25</v>
      </c>
      <c r="H467" t="s">
        <v>26</v>
      </c>
      <c r="I467" t="s">
        <v>38</v>
      </c>
      <c r="J467" t="s">
        <v>39</v>
      </c>
      <c r="K467" s="2">
        <v>67712.850000000006</v>
      </c>
      <c r="L467" s="2">
        <v>38792.949999999997</v>
      </c>
      <c r="M467" s="2">
        <v>28919.9</v>
      </c>
      <c r="N467" s="2">
        <v>5759.03</v>
      </c>
      <c r="O467" s="2">
        <v>23160.87</v>
      </c>
      <c r="P467" s="3">
        <v>34.200000000000003</v>
      </c>
      <c r="Q467" s="2">
        <v>3943923.35</v>
      </c>
      <c r="R467" s="2">
        <v>2452179.2799999998</v>
      </c>
      <c r="S467" s="2">
        <v>1491744.07</v>
      </c>
      <c r="T467" s="2">
        <v>9545.06</v>
      </c>
      <c r="U467" s="2">
        <v>9799.7999999999993</v>
      </c>
      <c r="V467" s="2">
        <v>33854.61</v>
      </c>
      <c r="W467" s="2">
        <v>53199.47</v>
      </c>
    </row>
    <row r="468" spans="1:23" ht="15.75" customHeight="1">
      <c r="A468">
        <v>560</v>
      </c>
      <c r="B468" s="1">
        <v>45613</v>
      </c>
      <c r="C468" t="s">
        <v>57</v>
      </c>
      <c r="D468">
        <v>4</v>
      </c>
      <c r="E468" t="s">
        <v>53</v>
      </c>
      <c r="F468">
        <v>11</v>
      </c>
      <c r="G468" t="s">
        <v>29</v>
      </c>
      <c r="H468" t="s">
        <v>30</v>
      </c>
      <c r="I468" t="s">
        <v>35</v>
      </c>
      <c r="J468" t="s">
        <v>32</v>
      </c>
      <c r="K468" s="2">
        <v>96404.28</v>
      </c>
      <c r="L468" s="2">
        <v>54335.62</v>
      </c>
      <c r="M468" s="2">
        <v>42068.66</v>
      </c>
      <c r="N468" s="2">
        <v>3616.94</v>
      </c>
      <c r="O468" s="2">
        <v>38451.72</v>
      </c>
      <c r="P468" s="3">
        <v>39.89</v>
      </c>
      <c r="Q468" s="2">
        <v>1954153.48</v>
      </c>
      <c r="R468" s="2">
        <v>913847.07</v>
      </c>
      <c r="S468" s="2">
        <v>1040306.41</v>
      </c>
      <c r="T468" s="2">
        <v>52588.71</v>
      </c>
      <c r="U468" s="2">
        <v>-34344.11</v>
      </c>
      <c r="V468" s="2">
        <v>4730.28</v>
      </c>
      <c r="W468" s="2">
        <v>22974.880000000001</v>
      </c>
    </row>
    <row r="469" spans="1:23" ht="15.75" customHeight="1">
      <c r="A469">
        <v>271</v>
      </c>
      <c r="B469" s="1">
        <v>45623</v>
      </c>
      <c r="C469" t="s">
        <v>57</v>
      </c>
      <c r="D469">
        <v>4</v>
      </c>
      <c r="E469" t="s">
        <v>53</v>
      </c>
      <c r="F469">
        <v>11</v>
      </c>
      <c r="G469" t="s">
        <v>43</v>
      </c>
      <c r="H469" t="s">
        <v>30</v>
      </c>
      <c r="I469" t="s">
        <v>35</v>
      </c>
      <c r="J469" t="s">
        <v>37</v>
      </c>
      <c r="K469" s="2">
        <v>179420.65</v>
      </c>
      <c r="L469" s="2">
        <v>95953.02</v>
      </c>
      <c r="M469" s="2">
        <v>83467.63</v>
      </c>
      <c r="N469" s="2">
        <v>14437.31</v>
      </c>
      <c r="O469" s="2">
        <v>69030.320000000007</v>
      </c>
      <c r="P469" s="3">
        <v>38.47</v>
      </c>
      <c r="Q469" s="2">
        <v>3518039.86</v>
      </c>
      <c r="R469" s="2">
        <v>1865782.08</v>
      </c>
      <c r="S469" s="2">
        <v>1652257.78</v>
      </c>
      <c r="T469" s="2">
        <v>55352.29</v>
      </c>
      <c r="U469" s="2">
        <v>-4600.59</v>
      </c>
      <c r="V469" s="2">
        <v>41836.959999999999</v>
      </c>
      <c r="W469" s="2">
        <v>92588.66</v>
      </c>
    </row>
    <row r="470" spans="1:23" ht="15.75" customHeight="1">
      <c r="A470">
        <v>190</v>
      </c>
      <c r="B470" s="1">
        <v>45627</v>
      </c>
      <c r="C470" t="s">
        <v>57</v>
      </c>
      <c r="D470">
        <v>4</v>
      </c>
      <c r="E470" t="s">
        <v>54</v>
      </c>
      <c r="F470">
        <v>12</v>
      </c>
      <c r="G470" t="s">
        <v>40</v>
      </c>
      <c r="H470" t="s">
        <v>30</v>
      </c>
      <c r="I470" t="s">
        <v>35</v>
      </c>
      <c r="J470" t="s">
        <v>41</v>
      </c>
      <c r="K470" s="2">
        <v>31163.72</v>
      </c>
      <c r="L470" s="2">
        <v>20988.97</v>
      </c>
      <c r="M470" s="2">
        <v>10174.75</v>
      </c>
      <c r="N470" s="2">
        <v>2383.48</v>
      </c>
      <c r="O470" s="2">
        <v>7791.27</v>
      </c>
      <c r="P470" s="3">
        <v>25</v>
      </c>
      <c r="Q470" s="2">
        <v>1574854.97</v>
      </c>
      <c r="R470" s="2">
        <v>689560.82</v>
      </c>
      <c r="S470" s="2">
        <v>885294.15</v>
      </c>
      <c r="T470" s="2">
        <v>13828.49</v>
      </c>
      <c r="U470" s="2">
        <v>-22702.87</v>
      </c>
      <c r="V470" s="2">
        <v>22251.97</v>
      </c>
      <c r="W470" s="2">
        <v>13377.59</v>
      </c>
    </row>
    <row r="471" spans="1:23" ht="15.75" customHeight="1">
      <c r="A471">
        <v>234</v>
      </c>
      <c r="B471" s="1">
        <v>45631</v>
      </c>
      <c r="C471" t="s">
        <v>57</v>
      </c>
      <c r="D471">
        <v>4</v>
      </c>
      <c r="E471" t="s">
        <v>54</v>
      </c>
      <c r="F471">
        <v>12</v>
      </c>
      <c r="G471" t="s">
        <v>29</v>
      </c>
      <c r="H471" t="s">
        <v>26</v>
      </c>
      <c r="I471" t="s">
        <v>31</v>
      </c>
      <c r="J471" t="s">
        <v>32</v>
      </c>
      <c r="K471" s="2">
        <v>62069.61</v>
      </c>
      <c r="L471" s="2">
        <v>40120.11</v>
      </c>
      <c r="M471" s="2">
        <v>21949.5</v>
      </c>
      <c r="N471" s="2">
        <v>4184.95</v>
      </c>
      <c r="O471" s="2">
        <v>17764.55</v>
      </c>
      <c r="P471" s="3">
        <v>28.62</v>
      </c>
      <c r="Q471" s="2">
        <v>3400660.29</v>
      </c>
      <c r="R471" s="2">
        <v>1613672.54</v>
      </c>
      <c r="S471" s="2">
        <v>1786987.75</v>
      </c>
      <c r="T471" s="2">
        <v>49918.79</v>
      </c>
      <c r="U471" s="2">
        <v>-49501.88</v>
      </c>
      <c r="V471" s="2">
        <v>32562.720000000001</v>
      </c>
      <c r="W471" s="2">
        <v>32979.629999999997</v>
      </c>
    </row>
    <row r="472" spans="1:23" ht="15.75" customHeight="1">
      <c r="A472">
        <v>26</v>
      </c>
      <c r="B472" s="1">
        <v>45634</v>
      </c>
      <c r="C472" t="s">
        <v>57</v>
      </c>
      <c r="D472">
        <v>4</v>
      </c>
      <c r="E472" t="s">
        <v>54</v>
      </c>
      <c r="F472">
        <v>12</v>
      </c>
      <c r="G472" t="s">
        <v>25</v>
      </c>
      <c r="H472" t="s">
        <v>36</v>
      </c>
      <c r="I472" t="s">
        <v>27</v>
      </c>
      <c r="J472" t="s">
        <v>39</v>
      </c>
      <c r="K472" s="2">
        <v>164002.20000000001</v>
      </c>
      <c r="L472" s="2">
        <v>102561.37</v>
      </c>
      <c r="M472" s="2">
        <v>61440.83</v>
      </c>
      <c r="N472" s="2">
        <v>11887.87</v>
      </c>
      <c r="O472" s="2">
        <v>49552.959999999999</v>
      </c>
      <c r="P472" s="3">
        <v>30.21</v>
      </c>
      <c r="Q472" s="2">
        <v>1275439.42</v>
      </c>
      <c r="R472" s="2">
        <v>416961.05</v>
      </c>
      <c r="S472" s="2">
        <v>858478.37</v>
      </c>
      <c r="T472" s="2">
        <v>22822.45</v>
      </c>
      <c r="U472" s="2">
        <v>-53106.49</v>
      </c>
      <c r="V472" s="2">
        <v>-12140.97</v>
      </c>
      <c r="W472" s="2">
        <v>-42425.01</v>
      </c>
    </row>
    <row r="473" spans="1:23" ht="15.75" customHeight="1">
      <c r="A473">
        <v>325</v>
      </c>
      <c r="B473" s="1">
        <v>45635</v>
      </c>
      <c r="C473" t="s">
        <v>57</v>
      </c>
      <c r="D473">
        <v>4</v>
      </c>
      <c r="E473" t="s">
        <v>54</v>
      </c>
      <c r="F473">
        <v>12</v>
      </c>
      <c r="G473" t="s">
        <v>37</v>
      </c>
      <c r="H473" t="s">
        <v>36</v>
      </c>
      <c r="I473" t="s">
        <v>35</v>
      </c>
      <c r="J473" t="s">
        <v>32</v>
      </c>
      <c r="K473" s="2">
        <v>179441.74</v>
      </c>
      <c r="L473" s="2">
        <v>133598.46</v>
      </c>
      <c r="M473" s="2">
        <v>45843.28</v>
      </c>
      <c r="N473" s="2">
        <v>9541.58</v>
      </c>
      <c r="O473" s="2">
        <v>36301.699999999997</v>
      </c>
      <c r="P473" s="3">
        <v>20.23</v>
      </c>
      <c r="Q473" s="2">
        <v>1469753.41</v>
      </c>
      <c r="R473" s="2">
        <v>564977.36</v>
      </c>
      <c r="S473" s="2">
        <v>904776.05</v>
      </c>
      <c r="T473" s="2">
        <v>43556.3</v>
      </c>
      <c r="U473" s="2">
        <v>7338.1</v>
      </c>
      <c r="V473" s="2">
        <v>51496.59</v>
      </c>
      <c r="W473" s="2">
        <v>102390.99</v>
      </c>
    </row>
    <row r="474" spans="1:23" ht="15.75" customHeight="1">
      <c r="A474">
        <v>279</v>
      </c>
      <c r="B474" s="1">
        <v>45636</v>
      </c>
      <c r="C474" t="s">
        <v>57</v>
      </c>
      <c r="D474">
        <v>4</v>
      </c>
      <c r="E474" t="s">
        <v>54</v>
      </c>
      <c r="F474">
        <v>12</v>
      </c>
      <c r="G474" t="s">
        <v>33</v>
      </c>
      <c r="H474" t="s">
        <v>26</v>
      </c>
      <c r="I474" t="s">
        <v>27</v>
      </c>
      <c r="J474" t="s">
        <v>32</v>
      </c>
      <c r="K474" s="2">
        <v>153358.10999999999</v>
      </c>
      <c r="L474" s="2">
        <v>81270.94</v>
      </c>
      <c r="M474" s="2">
        <v>72087.17</v>
      </c>
      <c r="N474" s="2">
        <v>15685.1</v>
      </c>
      <c r="O474" s="2">
        <v>56402.07</v>
      </c>
      <c r="P474" s="3">
        <v>36.78</v>
      </c>
      <c r="Q474" s="2">
        <v>4038609.8</v>
      </c>
      <c r="R474" s="2">
        <v>2030962.91</v>
      </c>
      <c r="S474" s="2">
        <v>2007646.89</v>
      </c>
      <c r="T474" s="2">
        <v>56283.68</v>
      </c>
      <c r="U474" s="2">
        <v>-42850.12</v>
      </c>
      <c r="V474" s="2">
        <v>-16821.64</v>
      </c>
      <c r="W474" s="2">
        <v>-3388.08</v>
      </c>
    </row>
    <row r="475" spans="1:23" ht="15.75" customHeight="1">
      <c r="A475">
        <v>360</v>
      </c>
      <c r="B475" s="1">
        <v>45640</v>
      </c>
      <c r="C475" t="s">
        <v>57</v>
      </c>
      <c r="D475">
        <v>4</v>
      </c>
      <c r="E475" t="s">
        <v>54</v>
      </c>
      <c r="F475">
        <v>12</v>
      </c>
      <c r="G475" t="s">
        <v>40</v>
      </c>
      <c r="H475" t="s">
        <v>30</v>
      </c>
      <c r="I475" t="s">
        <v>35</v>
      </c>
      <c r="J475" t="s">
        <v>28</v>
      </c>
      <c r="K475" s="2">
        <v>80873.55</v>
      </c>
      <c r="L475" s="2">
        <v>56479.68</v>
      </c>
      <c r="M475" s="2">
        <v>24393.87</v>
      </c>
      <c r="N475" s="2">
        <v>3073.86</v>
      </c>
      <c r="O475" s="2">
        <v>21320.01</v>
      </c>
      <c r="P475" s="3">
        <v>26.36</v>
      </c>
      <c r="Q475" s="2">
        <v>865533.36</v>
      </c>
      <c r="R475" s="2">
        <v>560028.4</v>
      </c>
      <c r="S475" s="2">
        <v>305504.96000000002</v>
      </c>
      <c r="T475" s="2">
        <v>3816.13</v>
      </c>
      <c r="U475" s="2">
        <v>28842.1</v>
      </c>
      <c r="V475" s="2">
        <v>57727.99</v>
      </c>
      <c r="W475" s="2">
        <v>90386.22</v>
      </c>
    </row>
    <row r="476" spans="1:23" ht="15.75" customHeight="1">
      <c r="A476">
        <v>361</v>
      </c>
      <c r="B476" s="1">
        <v>45642</v>
      </c>
      <c r="C476" t="s">
        <v>57</v>
      </c>
      <c r="D476">
        <v>4</v>
      </c>
      <c r="E476" t="s">
        <v>54</v>
      </c>
      <c r="F476">
        <v>12</v>
      </c>
      <c r="G476" t="s">
        <v>33</v>
      </c>
      <c r="H476" t="s">
        <v>34</v>
      </c>
      <c r="I476" t="s">
        <v>35</v>
      </c>
      <c r="J476" t="s">
        <v>39</v>
      </c>
      <c r="K476" s="2">
        <v>114560.09</v>
      </c>
      <c r="L476" s="2">
        <v>88263.69</v>
      </c>
      <c r="M476" s="2">
        <v>26296.400000000001</v>
      </c>
      <c r="N476" s="2">
        <v>3397.62</v>
      </c>
      <c r="O476" s="2">
        <v>22898.78</v>
      </c>
      <c r="P476" s="3">
        <v>19.989999999999998</v>
      </c>
      <c r="Q476" s="2">
        <v>2604565.46</v>
      </c>
      <c r="R476" s="2">
        <v>1296438.05</v>
      </c>
      <c r="S476" s="2">
        <v>1308127.4099999999</v>
      </c>
      <c r="T476" s="2">
        <v>25794.02</v>
      </c>
      <c r="U476" s="2">
        <v>-27251.35</v>
      </c>
      <c r="V476" s="2">
        <v>-6971.53</v>
      </c>
      <c r="W476" s="2">
        <v>-8428.86</v>
      </c>
    </row>
    <row r="477" spans="1:23" ht="15.75" customHeight="1">
      <c r="A477">
        <v>78</v>
      </c>
      <c r="B477" s="1">
        <v>45648</v>
      </c>
      <c r="C477" t="s">
        <v>57</v>
      </c>
      <c r="D477">
        <v>4</v>
      </c>
      <c r="E477" t="s">
        <v>54</v>
      </c>
      <c r="F477">
        <v>12</v>
      </c>
      <c r="G477" t="s">
        <v>25</v>
      </c>
      <c r="H477" t="s">
        <v>26</v>
      </c>
      <c r="I477" t="s">
        <v>27</v>
      </c>
      <c r="J477" t="s">
        <v>29</v>
      </c>
      <c r="K477" s="2">
        <v>88310.25</v>
      </c>
      <c r="L477" s="2">
        <v>51917.13</v>
      </c>
      <c r="M477" s="2">
        <v>36393.120000000003</v>
      </c>
      <c r="N477" s="2">
        <v>4518.5</v>
      </c>
      <c r="O477" s="2">
        <v>31874.62</v>
      </c>
      <c r="P477" s="3">
        <v>36.090000000000003</v>
      </c>
      <c r="Q477" s="2">
        <v>3755390.51</v>
      </c>
      <c r="R477" s="2">
        <v>1683730.44</v>
      </c>
      <c r="S477" s="2">
        <v>2071660.07</v>
      </c>
      <c r="T477" s="2">
        <v>8358.32</v>
      </c>
      <c r="U477" s="2">
        <v>-47981.68</v>
      </c>
      <c r="V477" s="2">
        <v>28325.88</v>
      </c>
      <c r="W477" s="2">
        <v>-11297.48</v>
      </c>
    </row>
    <row r="478" spans="1:23" ht="15.75" customHeight="1">
      <c r="A478">
        <v>587</v>
      </c>
      <c r="B478" s="1">
        <v>45655</v>
      </c>
      <c r="C478" t="s">
        <v>57</v>
      </c>
      <c r="D478">
        <v>4</v>
      </c>
      <c r="E478" t="s">
        <v>54</v>
      </c>
      <c r="F478">
        <v>12</v>
      </c>
      <c r="G478" t="s">
        <v>25</v>
      </c>
      <c r="H478" t="s">
        <v>30</v>
      </c>
      <c r="I478" t="s">
        <v>38</v>
      </c>
      <c r="J478" t="s">
        <v>44</v>
      </c>
      <c r="K478" s="2">
        <v>52176.81</v>
      </c>
      <c r="L478" s="2">
        <v>23674.83</v>
      </c>
      <c r="M478" s="2">
        <v>28501.98</v>
      </c>
      <c r="N478" s="2">
        <v>3001.19</v>
      </c>
      <c r="O478" s="2">
        <v>25500.79</v>
      </c>
      <c r="P478" s="3">
        <v>48.87</v>
      </c>
      <c r="Q478" s="2">
        <v>3991425.3</v>
      </c>
      <c r="R478" s="2">
        <v>1711177.79</v>
      </c>
      <c r="S478" s="2">
        <v>2280247.5099999998</v>
      </c>
      <c r="T478" s="2">
        <v>31300.81</v>
      </c>
      <c r="U478" s="2">
        <v>25502.29</v>
      </c>
      <c r="V478" s="2">
        <v>51963.49</v>
      </c>
      <c r="W478" s="2">
        <v>108766.59</v>
      </c>
    </row>
    <row r="479" spans="1:23" ht="15.75" customHeight="1">
      <c r="A479">
        <v>2</v>
      </c>
      <c r="B479" s="1">
        <v>45656</v>
      </c>
      <c r="C479" t="s">
        <v>57</v>
      </c>
      <c r="D479">
        <v>4</v>
      </c>
      <c r="E479" t="s">
        <v>54</v>
      </c>
      <c r="F479">
        <v>12</v>
      </c>
      <c r="G479" t="s">
        <v>33</v>
      </c>
      <c r="H479" t="s">
        <v>34</v>
      </c>
      <c r="I479" t="s">
        <v>35</v>
      </c>
      <c r="J479" t="s">
        <v>28</v>
      </c>
      <c r="K479" s="2">
        <v>83064.960000000006</v>
      </c>
      <c r="L479" s="2">
        <v>56614.43</v>
      </c>
      <c r="M479" s="2">
        <v>26450.53</v>
      </c>
      <c r="N479" s="2">
        <v>4378.4399999999996</v>
      </c>
      <c r="O479" s="2">
        <v>22072.09</v>
      </c>
      <c r="P479" s="3">
        <v>26.57</v>
      </c>
      <c r="Q479" s="2">
        <v>4354204.29</v>
      </c>
      <c r="R479" s="2">
        <v>2235785.73</v>
      </c>
      <c r="S479" s="2">
        <v>2118418.56</v>
      </c>
      <c r="T479" s="2">
        <v>5106.84</v>
      </c>
      <c r="U479" s="2">
        <v>-62943.13</v>
      </c>
      <c r="V479" s="2">
        <v>24241.93</v>
      </c>
      <c r="W479" s="2">
        <v>-33594.36</v>
      </c>
    </row>
    <row r="480" spans="1:23" ht="15.75" customHeight="1">
      <c r="A480">
        <v>282</v>
      </c>
      <c r="B480" s="1">
        <v>45659</v>
      </c>
      <c r="C480" t="s">
        <v>58</v>
      </c>
      <c r="D480">
        <v>1</v>
      </c>
      <c r="E480" t="s">
        <v>24</v>
      </c>
      <c r="F480">
        <v>1</v>
      </c>
      <c r="G480" t="s">
        <v>43</v>
      </c>
      <c r="H480" t="s">
        <v>30</v>
      </c>
      <c r="I480" t="s">
        <v>35</v>
      </c>
      <c r="J480" t="s">
        <v>29</v>
      </c>
      <c r="K480" s="2">
        <v>147361.99</v>
      </c>
      <c r="L480" s="2">
        <v>82494.87</v>
      </c>
      <c r="M480" s="2">
        <v>64867.12</v>
      </c>
      <c r="N480" s="2">
        <v>11159.27</v>
      </c>
      <c r="O480" s="2">
        <v>53707.85</v>
      </c>
      <c r="P480" s="3">
        <v>36.450000000000003</v>
      </c>
      <c r="Q480" s="2">
        <v>2053534.79</v>
      </c>
      <c r="R480" s="2">
        <v>853614.1</v>
      </c>
      <c r="S480" s="2">
        <v>1199920.69</v>
      </c>
      <c r="T480" s="2">
        <v>82300.960000000006</v>
      </c>
      <c r="U480" s="2">
        <v>18166.25</v>
      </c>
      <c r="V480" s="2">
        <v>-27850.46</v>
      </c>
      <c r="W480" s="2">
        <v>72616.75</v>
      </c>
    </row>
    <row r="481" spans="1:23" ht="15.75" customHeight="1">
      <c r="A481">
        <v>579</v>
      </c>
      <c r="B481" s="1">
        <v>45667</v>
      </c>
      <c r="C481" t="s">
        <v>58</v>
      </c>
      <c r="D481">
        <v>1</v>
      </c>
      <c r="E481" t="s">
        <v>24</v>
      </c>
      <c r="F481">
        <v>1</v>
      </c>
      <c r="G481" t="s">
        <v>25</v>
      </c>
      <c r="H481" t="s">
        <v>36</v>
      </c>
      <c r="I481" t="s">
        <v>35</v>
      </c>
      <c r="J481" t="s">
        <v>32</v>
      </c>
      <c r="K481" s="2">
        <v>40093.39</v>
      </c>
      <c r="L481" s="2">
        <v>22537.87</v>
      </c>
      <c r="M481" s="2">
        <v>17555.52</v>
      </c>
      <c r="N481" s="2">
        <v>3309.18</v>
      </c>
      <c r="O481" s="2">
        <v>14246.34</v>
      </c>
      <c r="P481" s="3">
        <v>35.53</v>
      </c>
      <c r="Q481" s="2">
        <v>2075030.91</v>
      </c>
      <c r="R481" s="2">
        <v>1289318.42</v>
      </c>
      <c r="S481" s="2">
        <v>785712.49</v>
      </c>
      <c r="T481" s="2">
        <v>-10503.57</v>
      </c>
      <c r="U481" s="2">
        <v>-15058.82</v>
      </c>
      <c r="V481" s="2">
        <v>19086.63</v>
      </c>
      <c r="W481" s="2">
        <v>-6475.76</v>
      </c>
    </row>
    <row r="482" spans="1:23" ht="15.75" customHeight="1">
      <c r="A482">
        <v>77</v>
      </c>
      <c r="B482" s="1">
        <v>45675</v>
      </c>
      <c r="C482" t="s">
        <v>58</v>
      </c>
      <c r="D482">
        <v>1</v>
      </c>
      <c r="E482" t="s">
        <v>24</v>
      </c>
      <c r="F482">
        <v>1</v>
      </c>
      <c r="G482" t="s">
        <v>25</v>
      </c>
      <c r="H482" t="s">
        <v>30</v>
      </c>
      <c r="I482" t="s">
        <v>38</v>
      </c>
      <c r="J482" t="s">
        <v>29</v>
      </c>
      <c r="K482" s="2">
        <v>161006.43</v>
      </c>
      <c r="L482" s="2">
        <v>88275.32</v>
      </c>
      <c r="M482" s="2">
        <v>72731.11</v>
      </c>
      <c r="N482" s="2">
        <v>7419.85</v>
      </c>
      <c r="O482" s="2">
        <v>65311.26</v>
      </c>
      <c r="P482" s="3">
        <v>40.56</v>
      </c>
      <c r="Q482" s="2">
        <v>4499366.3600000003</v>
      </c>
      <c r="R482" s="2">
        <v>2844772.07</v>
      </c>
      <c r="S482" s="2">
        <v>1654594.29</v>
      </c>
      <c r="T482" s="2">
        <v>104281.47</v>
      </c>
      <c r="U482" s="2">
        <v>10951.61</v>
      </c>
      <c r="V482" s="2">
        <v>25524.2</v>
      </c>
      <c r="W482" s="2">
        <v>140757.28</v>
      </c>
    </row>
    <row r="483" spans="1:23" ht="15.75" customHeight="1">
      <c r="A483">
        <v>233</v>
      </c>
      <c r="B483" s="1">
        <v>45676</v>
      </c>
      <c r="C483" t="s">
        <v>58</v>
      </c>
      <c r="D483">
        <v>1</v>
      </c>
      <c r="E483" t="s">
        <v>24</v>
      </c>
      <c r="F483">
        <v>1</v>
      </c>
      <c r="G483" t="s">
        <v>29</v>
      </c>
      <c r="H483" t="s">
        <v>34</v>
      </c>
      <c r="I483" t="s">
        <v>31</v>
      </c>
      <c r="J483" t="s">
        <v>32</v>
      </c>
      <c r="K483" s="2">
        <v>86690.82</v>
      </c>
      <c r="L483" s="2">
        <v>48727.07</v>
      </c>
      <c r="M483" s="2">
        <v>37963.75</v>
      </c>
      <c r="N483" s="2">
        <v>3461.08</v>
      </c>
      <c r="O483" s="2">
        <v>34502.67</v>
      </c>
      <c r="P483" s="3">
        <v>39.799999999999997</v>
      </c>
      <c r="Q483" s="2">
        <v>1527059.14</v>
      </c>
      <c r="R483" s="2">
        <v>532396.12</v>
      </c>
      <c r="S483" s="2">
        <v>994663.02</v>
      </c>
      <c r="T483" s="2">
        <v>43228.84</v>
      </c>
      <c r="U483" s="2">
        <v>4744.4399999999996</v>
      </c>
      <c r="V483" s="2">
        <v>7380.98</v>
      </c>
      <c r="W483" s="2">
        <v>55354.26</v>
      </c>
    </row>
    <row r="484" spans="1:23" ht="15.75" customHeight="1">
      <c r="A484">
        <v>14</v>
      </c>
      <c r="B484" s="1">
        <v>45679</v>
      </c>
      <c r="C484" t="s">
        <v>58</v>
      </c>
      <c r="D484">
        <v>1</v>
      </c>
      <c r="E484" t="s">
        <v>24</v>
      </c>
      <c r="F484">
        <v>1</v>
      </c>
      <c r="G484" t="s">
        <v>33</v>
      </c>
      <c r="H484" t="s">
        <v>36</v>
      </c>
      <c r="I484" t="s">
        <v>38</v>
      </c>
      <c r="J484" t="s">
        <v>32</v>
      </c>
      <c r="K484" s="2">
        <v>176574.6</v>
      </c>
      <c r="L484" s="2">
        <v>115783.83</v>
      </c>
      <c r="M484" s="2">
        <v>60790.77</v>
      </c>
      <c r="N484" s="2">
        <v>8198.0400000000009</v>
      </c>
      <c r="O484" s="2">
        <v>52592.73</v>
      </c>
      <c r="P484" s="3">
        <v>29.78</v>
      </c>
      <c r="Q484" s="2">
        <v>695303.52</v>
      </c>
      <c r="R484" s="2">
        <v>430988.98</v>
      </c>
      <c r="S484" s="2">
        <v>264314.53999999998</v>
      </c>
      <c r="T484" s="2">
        <v>96121.99</v>
      </c>
      <c r="U484" s="2">
        <v>-44700.98</v>
      </c>
      <c r="V484" s="2">
        <v>29541.11</v>
      </c>
      <c r="W484" s="2">
        <v>80962.12</v>
      </c>
    </row>
    <row r="485" spans="1:23" ht="15.75" customHeight="1">
      <c r="A485">
        <v>179</v>
      </c>
      <c r="B485" s="1">
        <v>45681</v>
      </c>
      <c r="C485" t="s">
        <v>58</v>
      </c>
      <c r="D485">
        <v>1</v>
      </c>
      <c r="E485" t="s">
        <v>24</v>
      </c>
      <c r="F485">
        <v>1</v>
      </c>
      <c r="G485" t="s">
        <v>37</v>
      </c>
      <c r="H485" t="s">
        <v>34</v>
      </c>
      <c r="I485" t="s">
        <v>31</v>
      </c>
      <c r="J485" t="s">
        <v>32</v>
      </c>
      <c r="K485" s="2">
        <v>139590.68</v>
      </c>
      <c r="L485" s="2">
        <v>68308.31</v>
      </c>
      <c r="M485" s="2">
        <v>71282.37</v>
      </c>
      <c r="N485" s="2">
        <v>9518.7900000000009</v>
      </c>
      <c r="O485" s="2">
        <v>61763.58</v>
      </c>
      <c r="P485" s="3">
        <v>44.25</v>
      </c>
      <c r="Q485" s="2">
        <v>517177.1</v>
      </c>
      <c r="R485" s="2">
        <v>270311.81</v>
      </c>
      <c r="S485" s="2">
        <v>246865.29</v>
      </c>
      <c r="T485" s="2">
        <v>45134.14</v>
      </c>
      <c r="U485" s="2">
        <v>-4471.76</v>
      </c>
      <c r="V485" s="2">
        <v>59174.26</v>
      </c>
      <c r="W485" s="2">
        <v>99836.64</v>
      </c>
    </row>
    <row r="486" spans="1:23" ht="15.75" customHeight="1">
      <c r="A486">
        <v>104</v>
      </c>
      <c r="B486" s="1">
        <v>45682</v>
      </c>
      <c r="C486" t="s">
        <v>58</v>
      </c>
      <c r="D486">
        <v>1</v>
      </c>
      <c r="E486" t="s">
        <v>24</v>
      </c>
      <c r="F486">
        <v>1</v>
      </c>
      <c r="G486" t="s">
        <v>33</v>
      </c>
      <c r="H486" t="s">
        <v>30</v>
      </c>
      <c r="I486" t="s">
        <v>27</v>
      </c>
      <c r="J486" t="s">
        <v>37</v>
      </c>
      <c r="K486" s="2">
        <v>77235.490000000005</v>
      </c>
      <c r="L486" s="2">
        <v>58443.08</v>
      </c>
      <c r="M486" s="2">
        <v>18792.41</v>
      </c>
      <c r="N486" s="2">
        <v>2879.95</v>
      </c>
      <c r="O486" s="2">
        <v>15912.46</v>
      </c>
      <c r="P486" s="3">
        <v>20.6</v>
      </c>
      <c r="Q486" s="2">
        <v>1619214.23</v>
      </c>
      <c r="R486" s="2">
        <v>804519.54</v>
      </c>
      <c r="S486" s="2">
        <v>814694.69</v>
      </c>
      <c r="T486" s="2">
        <v>42454.64</v>
      </c>
      <c r="U486" s="2">
        <v>-53295.81</v>
      </c>
      <c r="V486" s="2">
        <v>-23238.080000000002</v>
      </c>
      <c r="W486" s="2">
        <v>-34079.25</v>
      </c>
    </row>
    <row r="487" spans="1:23" ht="15.75" customHeight="1">
      <c r="A487">
        <v>164</v>
      </c>
      <c r="B487" s="1">
        <v>45682</v>
      </c>
      <c r="C487" t="s">
        <v>58</v>
      </c>
      <c r="D487">
        <v>1</v>
      </c>
      <c r="E487" t="s">
        <v>24</v>
      </c>
      <c r="F487">
        <v>1</v>
      </c>
      <c r="G487" t="s">
        <v>25</v>
      </c>
      <c r="H487" t="s">
        <v>36</v>
      </c>
      <c r="I487" t="s">
        <v>31</v>
      </c>
      <c r="J487" t="s">
        <v>44</v>
      </c>
      <c r="K487" s="2">
        <v>112108.89</v>
      </c>
      <c r="L487" s="2">
        <v>64797.88</v>
      </c>
      <c r="M487" s="2">
        <v>47311.01</v>
      </c>
      <c r="N487" s="2">
        <v>6319.91</v>
      </c>
      <c r="O487" s="2">
        <v>40991.1</v>
      </c>
      <c r="P487" s="3">
        <v>36.56</v>
      </c>
      <c r="Q487" s="2">
        <v>3973359.77</v>
      </c>
      <c r="R487" s="2">
        <v>1130698.3700000001</v>
      </c>
      <c r="S487" s="2">
        <v>2842661.4</v>
      </c>
      <c r="T487" s="2">
        <v>29933.84</v>
      </c>
      <c r="U487" s="2">
        <v>3244.87</v>
      </c>
      <c r="V487" s="2">
        <v>14832.06</v>
      </c>
      <c r="W487" s="2">
        <v>48010.77</v>
      </c>
    </row>
    <row r="488" spans="1:23" ht="15.75" customHeight="1">
      <c r="A488">
        <v>245</v>
      </c>
      <c r="B488" s="1">
        <v>45692</v>
      </c>
      <c r="C488" t="s">
        <v>58</v>
      </c>
      <c r="D488">
        <v>1</v>
      </c>
      <c r="E488" t="s">
        <v>42</v>
      </c>
      <c r="F488">
        <v>2</v>
      </c>
      <c r="G488" t="s">
        <v>43</v>
      </c>
      <c r="H488" t="s">
        <v>30</v>
      </c>
      <c r="I488" t="s">
        <v>31</v>
      </c>
      <c r="J488" t="s">
        <v>28</v>
      </c>
      <c r="K488" s="2">
        <v>147070.10999999999</v>
      </c>
      <c r="L488" s="2">
        <v>79840.03</v>
      </c>
      <c r="M488" s="2">
        <v>67230.080000000002</v>
      </c>
      <c r="N488" s="2">
        <v>11825.27</v>
      </c>
      <c r="O488" s="2">
        <v>55404.81</v>
      </c>
      <c r="P488" s="3">
        <v>37.67</v>
      </c>
      <c r="Q488" s="2">
        <v>2113603.08</v>
      </c>
      <c r="R488" s="2">
        <v>1083543.75</v>
      </c>
      <c r="S488" s="2">
        <v>1030059.33</v>
      </c>
      <c r="T488" s="2">
        <v>44636.72</v>
      </c>
      <c r="U488" s="2">
        <v>-50840.71</v>
      </c>
      <c r="V488" s="2">
        <v>51823.91</v>
      </c>
      <c r="W488" s="2">
        <v>45619.92</v>
      </c>
    </row>
    <row r="489" spans="1:23" ht="15.75" customHeight="1">
      <c r="A489">
        <v>130</v>
      </c>
      <c r="B489" s="1">
        <v>45692</v>
      </c>
      <c r="C489" t="s">
        <v>58</v>
      </c>
      <c r="D489">
        <v>1</v>
      </c>
      <c r="E489" t="s">
        <v>42</v>
      </c>
      <c r="F489">
        <v>2</v>
      </c>
      <c r="G489" t="s">
        <v>40</v>
      </c>
      <c r="H489" t="s">
        <v>34</v>
      </c>
      <c r="I489" t="s">
        <v>31</v>
      </c>
      <c r="J489" t="s">
        <v>39</v>
      </c>
      <c r="K489" s="2">
        <v>146872.76999999999</v>
      </c>
      <c r="L489" s="2">
        <v>97317.51</v>
      </c>
      <c r="M489" s="2">
        <v>49555.26</v>
      </c>
      <c r="N489" s="2">
        <v>8737.4699999999993</v>
      </c>
      <c r="O489" s="2">
        <v>40817.79</v>
      </c>
      <c r="P489" s="3">
        <v>27.79</v>
      </c>
      <c r="Q489" s="2">
        <v>2259692.4300000002</v>
      </c>
      <c r="R489" s="2">
        <v>1017903.76</v>
      </c>
      <c r="S489" s="2">
        <v>1241788.67</v>
      </c>
      <c r="T489" s="2">
        <v>42592.09</v>
      </c>
      <c r="U489" s="2">
        <v>-16026.74</v>
      </c>
      <c r="V489" s="2">
        <v>22795.01</v>
      </c>
      <c r="W489" s="2">
        <v>49360.36</v>
      </c>
    </row>
    <row r="490" spans="1:23" ht="15.75" customHeight="1">
      <c r="A490">
        <v>219</v>
      </c>
      <c r="B490" s="1">
        <v>45693</v>
      </c>
      <c r="C490" t="s">
        <v>58</v>
      </c>
      <c r="D490">
        <v>1</v>
      </c>
      <c r="E490" t="s">
        <v>42</v>
      </c>
      <c r="F490">
        <v>2</v>
      </c>
      <c r="G490" t="s">
        <v>43</v>
      </c>
      <c r="H490" t="s">
        <v>26</v>
      </c>
      <c r="I490" t="s">
        <v>35</v>
      </c>
      <c r="J490" t="s">
        <v>37</v>
      </c>
      <c r="K490" s="2">
        <v>102978.01</v>
      </c>
      <c r="L490" s="2">
        <v>63461.17</v>
      </c>
      <c r="M490" s="2">
        <v>39516.839999999997</v>
      </c>
      <c r="N490" s="2">
        <v>7097.11</v>
      </c>
      <c r="O490" s="2">
        <v>32419.73</v>
      </c>
      <c r="P490" s="3">
        <v>31.48</v>
      </c>
      <c r="Q490" s="2">
        <v>3311527.38</v>
      </c>
      <c r="R490" s="2">
        <v>922956.86</v>
      </c>
      <c r="S490" s="2">
        <v>2388570.52</v>
      </c>
      <c r="T490" s="2">
        <v>57029.11</v>
      </c>
      <c r="U490" s="2">
        <v>-45806.83</v>
      </c>
      <c r="V490" s="2">
        <v>31395.26</v>
      </c>
      <c r="W490" s="2">
        <v>42617.54</v>
      </c>
    </row>
    <row r="491" spans="1:23" ht="15.75" customHeight="1">
      <c r="A491">
        <v>367</v>
      </c>
      <c r="B491" s="1">
        <v>45693</v>
      </c>
      <c r="C491" t="s">
        <v>58</v>
      </c>
      <c r="D491">
        <v>1</v>
      </c>
      <c r="E491" t="s">
        <v>42</v>
      </c>
      <c r="F491">
        <v>2</v>
      </c>
      <c r="G491" t="s">
        <v>43</v>
      </c>
      <c r="H491" t="s">
        <v>26</v>
      </c>
      <c r="I491" t="s">
        <v>35</v>
      </c>
      <c r="J491" t="s">
        <v>44</v>
      </c>
      <c r="K491" s="2">
        <v>99820.59</v>
      </c>
      <c r="L491" s="2">
        <v>73633.509999999995</v>
      </c>
      <c r="M491" s="2">
        <v>26187.08</v>
      </c>
      <c r="N491" s="2">
        <v>5090.3500000000004</v>
      </c>
      <c r="O491" s="2">
        <v>21096.73</v>
      </c>
      <c r="P491" s="3">
        <v>21.13</v>
      </c>
      <c r="Q491" s="2">
        <v>3759145.37</v>
      </c>
      <c r="R491" s="2">
        <v>1680486.85</v>
      </c>
      <c r="S491" s="2">
        <v>2078658.52</v>
      </c>
      <c r="T491" s="2">
        <v>41769.67</v>
      </c>
      <c r="U491" s="2">
        <v>10552.59</v>
      </c>
      <c r="V491" s="2">
        <v>-211.58</v>
      </c>
      <c r="W491" s="2">
        <v>52110.68</v>
      </c>
    </row>
    <row r="492" spans="1:23" ht="15.75" customHeight="1">
      <c r="A492">
        <v>556</v>
      </c>
      <c r="B492" s="1">
        <v>45694</v>
      </c>
      <c r="C492" t="s">
        <v>58</v>
      </c>
      <c r="D492">
        <v>1</v>
      </c>
      <c r="E492" t="s">
        <v>42</v>
      </c>
      <c r="F492">
        <v>2</v>
      </c>
      <c r="G492" t="s">
        <v>25</v>
      </c>
      <c r="H492" t="s">
        <v>34</v>
      </c>
      <c r="I492" t="s">
        <v>38</v>
      </c>
      <c r="J492" t="s">
        <v>28</v>
      </c>
      <c r="K492" s="2">
        <v>132997</v>
      </c>
      <c r="L492" s="2">
        <v>64604.23</v>
      </c>
      <c r="M492" s="2">
        <v>68392.77</v>
      </c>
      <c r="N492" s="2">
        <v>8659.06</v>
      </c>
      <c r="O492" s="2">
        <v>59733.71</v>
      </c>
      <c r="P492" s="3">
        <v>44.91</v>
      </c>
      <c r="Q492" s="2">
        <v>1940255.27</v>
      </c>
      <c r="R492" s="2">
        <v>1077346.19</v>
      </c>
      <c r="S492" s="2">
        <v>862909.08</v>
      </c>
      <c r="T492" s="2">
        <v>93913.64</v>
      </c>
      <c r="U492" s="2">
        <v>-31489.39</v>
      </c>
      <c r="V492" s="2">
        <v>1788.4</v>
      </c>
      <c r="W492" s="2">
        <v>64212.65</v>
      </c>
    </row>
    <row r="493" spans="1:23" ht="15.75" customHeight="1">
      <c r="A493">
        <v>44</v>
      </c>
      <c r="B493" s="1">
        <v>45696</v>
      </c>
      <c r="C493" t="s">
        <v>58</v>
      </c>
      <c r="D493">
        <v>1</v>
      </c>
      <c r="E493" t="s">
        <v>42</v>
      </c>
      <c r="F493">
        <v>2</v>
      </c>
      <c r="G493" t="s">
        <v>29</v>
      </c>
      <c r="H493" t="s">
        <v>36</v>
      </c>
      <c r="I493" t="s">
        <v>38</v>
      </c>
      <c r="J493" t="s">
        <v>44</v>
      </c>
      <c r="K493" s="2">
        <v>117758.62</v>
      </c>
      <c r="L493" s="2">
        <v>77630.97</v>
      </c>
      <c r="M493" s="2">
        <v>40127.65</v>
      </c>
      <c r="N493" s="2">
        <v>8095.77</v>
      </c>
      <c r="O493" s="2">
        <v>32031.88</v>
      </c>
      <c r="P493" s="3">
        <v>27.2</v>
      </c>
      <c r="Q493" s="2">
        <v>3195632.14</v>
      </c>
      <c r="R493" s="2">
        <v>1855766</v>
      </c>
      <c r="S493" s="2">
        <v>1339866.1399999999</v>
      </c>
      <c r="T493" s="2">
        <v>78757.86</v>
      </c>
      <c r="U493" s="2">
        <v>-35747.57</v>
      </c>
      <c r="V493" s="2">
        <v>-17264.900000000001</v>
      </c>
      <c r="W493" s="2">
        <v>25745.39</v>
      </c>
    </row>
    <row r="494" spans="1:23" ht="15.75" customHeight="1">
      <c r="A494">
        <v>477</v>
      </c>
      <c r="B494" s="1">
        <v>45697</v>
      </c>
      <c r="C494" t="s">
        <v>58</v>
      </c>
      <c r="D494">
        <v>1</v>
      </c>
      <c r="E494" t="s">
        <v>42</v>
      </c>
      <c r="F494">
        <v>2</v>
      </c>
      <c r="G494" t="s">
        <v>40</v>
      </c>
      <c r="H494" t="s">
        <v>30</v>
      </c>
      <c r="I494" t="s">
        <v>38</v>
      </c>
      <c r="J494" t="s">
        <v>37</v>
      </c>
      <c r="K494" s="2">
        <v>77536.44</v>
      </c>
      <c r="L494" s="2">
        <v>57717.68</v>
      </c>
      <c r="M494" s="2">
        <v>19818.759999999998</v>
      </c>
      <c r="N494" s="2">
        <v>1846.56</v>
      </c>
      <c r="O494" s="2">
        <v>17972.2</v>
      </c>
      <c r="P494" s="3">
        <v>23.18</v>
      </c>
      <c r="Q494" s="2">
        <v>1770412.25</v>
      </c>
      <c r="R494" s="2">
        <v>857089.73</v>
      </c>
      <c r="S494" s="2">
        <v>913322.52</v>
      </c>
      <c r="T494" s="2">
        <v>8485.24</v>
      </c>
      <c r="U494" s="2">
        <v>23397.8</v>
      </c>
      <c r="V494" s="2">
        <v>-26894.14</v>
      </c>
      <c r="W494" s="2">
        <v>4988.8999999999996</v>
      </c>
    </row>
    <row r="495" spans="1:23" ht="15.75" customHeight="1">
      <c r="A495">
        <v>92</v>
      </c>
      <c r="B495" s="1">
        <v>45697</v>
      </c>
      <c r="C495" t="s">
        <v>58</v>
      </c>
      <c r="D495">
        <v>1</v>
      </c>
      <c r="E495" t="s">
        <v>42</v>
      </c>
      <c r="F495">
        <v>2</v>
      </c>
      <c r="G495" t="s">
        <v>40</v>
      </c>
      <c r="H495" t="s">
        <v>36</v>
      </c>
      <c r="I495" t="s">
        <v>35</v>
      </c>
      <c r="J495" t="s">
        <v>44</v>
      </c>
      <c r="K495" s="2">
        <v>142344.19</v>
      </c>
      <c r="L495" s="2">
        <v>114228.37</v>
      </c>
      <c r="M495" s="2">
        <v>28115.82</v>
      </c>
      <c r="N495" s="2">
        <v>6588.36</v>
      </c>
      <c r="O495" s="2">
        <v>21527.46</v>
      </c>
      <c r="P495" s="3">
        <v>15.12</v>
      </c>
      <c r="Q495" s="2">
        <v>3759283.89</v>
      </c>
      <c r="R495" s="2">
        <v>2066345.48</v>
      </c>
      <c r="S495" s="2">
        <v>1692938.41</v>
      </c>
      <c r="T495" s="2">
        <v>3201.23</v>
      </c>
      <c r="U495" s="2">
        <v>-59720.76</v>
      </c>
      <c r="V495" s="2">
        <v>17090.45</v>
      </c>
      <c r="W495" s="2">
        <v>-39429.08</v>
      </c>
    </row>
    <row r="496" spans="1:23" ht="15.75" customHeight="1">
      <c r="A496">
        <v>415</v>
      </c>
      <c r="B496" s="1">
        <v>45701</v>
      </c>
      <c r="C496" t="s">
        <v>58</v>
      </c>
      <c r="D496">
        <v>1</v>
      </c>
      <c r="E496" t="s">
        <v>42</v>
      </c>
      <c r="F496">
        <v>2</v>
      </c>
      <c r="G496" t="s">
        <v>33</v>
      </c>
      <c r="H496" t="s">
        <v>34</v>
      </c>
      <c r="I496" t="s">
        <v>38</v>
      </c>
      <c r="J496" t="s">
        <v>32</v>
      </c>
      <c r="K496" s="2">
        <v>57020.06</v>
      </c>
      <c r="L496" s="2">
        <v>32268.14</v>
      </c>
      <c r="M496" s="2">
        <v>24751.919999999998</v>
      </c>
      <c r="N496" s="2">
        <v>4656.62</v>
      </c>
      <c r="O496" s="2">
        <v>20095.3</v>
      </c>
      <c r="P496" s="3">
        <v>35.24</v>
      </c>
      <c r="Q496" s="2">
        <v>2292262.4700000002</v>
      </c>
      <c r="R496" s="2">
        <v>579314.05000000005</v>
      </c>
      <c r="S496" s="2">
        <v>1712948.42</v>
      </c>
      <c r="T496" s="2">
        <v>31967.87</v>
      </c>
      <c r="U496" s="2">
        <v>22151.34</v>
      </c>
      <c r="V496" s="2">
        <v>41207.760000000002</v>
      </c>
      <c r="W496" s="2">
        <v>95326.97</v>
      </c>
    </row>
    <row r="497" spans="1:23" ht="15.75" customHeight="1">
      <c r="A497">
        <v>58</v>
      </c>
      <c r="B497" s="1">
        <v>45705</v>
      </c>
      <c r="C497" t="s">
        <v>58</v>
      </c>
      <c r="D497">
        <v>1</v>
      </c>
      <c r="E497" t="s">
        <v>42</v>
      </c>
      <c r="F497">
        <v>2</v>
      </c>
      <c r="G497" t="s">
        <v>29</v>
      </c>
      <c r="H497" t="s">
        <v>36</v>
      </c>
      <c r="I497" t="s">
        <v>27</v>
      </c>
      <c r="J497" t="s">
        <v>41</v>
      </c>
      <c r="K497" s="2">
        <v>100140.65</v>
      </c>
      <c r="L497" s="2">
        <v>64050.89</v>
      </c>
      <c r="M497" s="2">
        <v>36089.760000000002</v>
      </c>
      <c r="N497" s="2">
        <v>7437.62</v>
      </c>
      <c r="O497" s="2">
        <v>28652.14</v>
      </c>
      <c r="P497" s="3">
        <v>28.61</v>
      </c>
      <c r="Q497" s="2">
        <v>3644806.34</v>
      </c>
      <c r="R497" s="2">
        <v>1498088.37</v>
      </c>
      <c r="S497" s="2">
        <v>2146717.9700000002</v>
      </c>
      <c r="T497" s="2">
        <v>16093.99</v>
      </c>
      <c r="U497" s="2">
        <v>-5494.58</v>
      </c>
      <c r="V497" s="2">
        <v>2170.39</v>
      </c>
      <c r="W497" s="2">
        <v>12769.8</v>
      </c>
    </row>
    <row r="498" spans="1:23" ht="15.75" customHeight="1">
      <c r="A498">
        <v>141</v>
      </c>
      <c r="B498" s="1">
        <v>45710</v>
      </c>
      <c r="C498" t="s">
        <v>58</v>
      </c>
      <c r="D498">
        <v>1</v>
      </c>
      <c r="E498" t="s">
        <v>42</v>
      </c>
      <c r="F498">
        <v>2</v>
      </c>
      <c r="G498" t="s">
        <v>43</v>
      </c>
      <c r="H498" t="s">
        <v>30</v>
      </c>
      <c r="I498" t="s">
        <v>38</v>
      </c>
      <c r="J498" t="s">
        <v>29</v>
      </c>
      <c r="K498" s="2">
        <v>127097.28</v>
      </c>
      <c r="L498" s="2">
        <v>101531.35</v>
      </c>
      <c r="M498" s="2">
        <v>25565.93</v>
      </c>
      <c r="N498" s="2">
        <v>5560.85</v>
      </c>
      <c r="O498" s="2">
        <v>20005.080000000002</v>
      </c>
      <c r="P498" s="3">
        <v>15.74</v>
      </c>
      <c r="Q498" s="2">
        <v>843875.87</v>
      </c>
      <c r="R498" s="2">
        <v>305269.64</v>
      </c>
      <c r="S498" s="2">
        <v>538606.23</v>
      </c>
      <c r="T498" s="2">
        <v>64430.59</v>
      </c>
      <c r="U498" s="2">
        <v>-44694.16</v>
      </c>
      <c r="V498" s="2">
        <v>38117.040000000001</v>
      </c>
      <c r="W498" s="2">
        <v>57853.47</v>
      </c>
    </row>
    <row r="499" spans="1:23" ht="15.75" customHeight="1">
      <c r="A499">
        <v>25</v>
      </c>
      <c r="B499" s="1">
        <v>45712</v>
      </c>
      <c r="C499" t="s">
        <v>58</v>
      </c>
      <c r="D499">
        <v>1</v>
      </c>
      <c r="E499" t="s">
        <v>42</v>
      </c>
      <c r="F499">
        <v>2</v>
      </c>
      <c r="G499" t="s">
        <v>43</v>
      </c>
      <c r="H499" t="s">
        <v>34</v>
      </c>
      <c r="I499" t="s">
        <v>35</v>
      </c>
      <c r="J499" t="s">
        <v>32</v>
      </c>
      <c r="K499" s="2">
        <v>78849.08</v>
      </c>
      <c r="L499" s="2">
        <v>41583.300000000003</v>
      </c>
      <c r="M499" s="2">
        <v>37265.78</v>
      </c>
      <c r="N499" s="2">
        <v>6653.45</v>
      </c>
      <c r="O499" s="2">
        <v>30612.33</v>
      </c>
      <c r="P499" s="3">
        <v>38.82</v>
      </c>
      <c r="Q499" s="2">
        <v>2037034.45</v>
      </c>
      <c r="R499" s="2">
        <v>947028.25</v>
      </c>
      <c r="S499" s="2">
        <v>1090006.2</v>
      </c>
      <c r="T499" s="2">
        <v>37421.86</v>
      </c>
      <c r="U499" s="2">
        <v>-11523.39</v>
      </c>
      <c r="V499" s="2">
        <v>30.05</v>
      </c>
      <c r="W499" s="2">
        <v>25928.52</v>
      </c>
    </row>
    <row r="500" spans="1:23" ht="15.75" customHeight="1">
      <c r="A500">
        <v>249</v>
      </c>
      <c r="B500" s="1">
        <v>45717</v>
      </c>
      <c r="C500" t="s">
        <v>58</v>
      </c>
      <c r="D500">
        <v>1</v>
      </c>
      <c r="E500" t="s">
        <v>45</v>
      </c>
      <c r="F500">
        <v>3</v>
      </c>
      <c r="G500" t="s">
        <v>37</v>
      </c>
      <c r="H500" t="s">
        <v>36</v>
      </c>
      <c r="I500" t="s">
        <v>27</v>
      </c>
      <c r="J500" t="s">
        <v>32</v>
      </c>
      <c r="K500" s="2">
        <v>103572.67</v>
      </c>
      <c r="L500" s="2">
        <v>62297.15</v>
      </c>
      <c r="M500" s="2">
        <v>41275.519999999997</v>
      </c>
      <c r="N500" s="2">
        <v>8991.85</v>
      </c>
      <c r="O500" s="2">
        <v>32283.67</v>
      </c>
      <c r="P500" s="3">
        <v>31.17</v>
      </c>
      <c r="Q500" s="2">
        <v>4261216.68</v>
      </c>
      <c r="R500" s="2">
        <v>1631519.36</v>
      </c>
      <c r="S500" s="2">
        <v>2629697.3199999998</v>
      </c>
      <c r="T500" s="2">
        <v>57773.11</v>
      </c>
      <c r="U500" s="2">
        <v>7112.28</v>
      </c>
      <c r="V500" s="2">
        <v>25465.07</v>
      </c>
      <c r="W500" s="2">
        <v>90350.46</v>
      </c>
    </row>
    <row r="501" spans="1:23" ht="15.75" customHeight="1">
      <c r="A501">
        <v>133</v>
      </c>
      <c r="B501" s="1">
        <v>45719</v>
      </c>
      <c r="C501" t="s">
        <v>58</v>
      </c>
      <c r="D501">
        <v>1</v>
      </c>
      <c r="E501" t="s">
        <v>45</v>
      </c>
      <c r="F501">
        <v>3</v>
      </c>
      <c r="G501" t="s">
        <v>43</v>
      </c>
      <c r="H501" t="s">
        <v>26</v>
      </c>
      <c r="I501" t="s">
        <v>38</v>
      </c>
      <c r="J501" t="s">
        <v>39</v>
      </c>
      <c r="K501" s="2">
        <v>47687.97</v>
      </c>
      <c r="L501" s="2">
        <v>27944.57</v>
      </c>
      <c r="M501" s="2">
        <v>19743.400000000001</v>
      </c>
      <c r="N501" s="2">
        <v>1808.28</v>
      </c>
      <c r="O501" s="2">
        <v>17935.12</v>
      </c>
      <c r="P501" s="3">
        <v>37.61</v>
      </c>
      <c r="Q501" s="2">
        <v>616153.57999999996</v>
      </c>
      <c r="R501" s="2">
        <v>187351.67</v>
      </c>
      <c r="S501" s="2">
        <v>428801.91</v>
      </c>
      <c r="T501" s="2">
        <v>64984.33</v>
      </c>
      <c r="U501" s="2">
        <v>-15047.05</v>
      </c>
      <c r="V501" s="2">
        <v>56582.22</v>
      </c>
      <c r="W501" s="2">
        <v>106519.5</v>
      </c>
    </row>
    <row r="502" spans="1:23" ht="15.75" customHeight="1">
      <c r="A502">
        <v>385</v>
      </c>
      <c r="B502" s="1">
        <v>45724</v>
      </c>
      <c r="C502" t="s">
        <v>58</v>
      </c>
      <c r="D502">
        <v>1</v>
      </c>
      <c r="E502" t="s">
        <v>45</v>
      </c>
      <c r="F502">
        <v>3</v>
      </c>
      <c r="G502" t="s">
        <v>43</v>
      </c>
      <c r="H502" t="s">
        <v>26</v>
      </c>
      <c r="I502" t="s">
        <v>35</v>
      </c>
      <c r="J502" t="s">
        <v>28</v>
      </c>
      <c r="K502" s="2">
        <v>114432.15</v>
      </c>
      <c r="L502" s="2">
        <v>66122.09</v>
      </c>
      <c r="M502" s="2">
        <v>48310.06</v>
      </c>
      <c r="N502" s="2">
        <v>10459.709999999999</v>
      </c>
      <c r="O502" s="2">
        <v>37850.35</v>
      </c>
      <c r="P502" s="3">
        <v>33.08</v>
      </c>
      <c r="Q502" s="2">
        <v>2931255.02</v>
      </c>
      <c r="R502" s="2">
        <v>825770.05</v>
      </c>
      <c r="S502" s="2">
        <v>2105484.9700000002</v>
      </c>
      <c r="T502" s="2">
        <v>53118.39</v>
      </c>
      <c r="U502" s="2">
        <v>20801.849999999999</v>
      </c>
      <c r="V502" s="2">
        <v>-368.74</v>
      </c>
      <c r="W502" s="2">
        <v>73551.5</v>
      </c>
    </row>
    <row r="503" spans="1:23" ht="15.75" customHeight="1">
      <c r="A503">
        <v>56</v>
      </c>
      <c r="B503" s="1">
        <v>45725</v>
      </c>
      <c r="C503" t="s">
        <v>58</v>
      </c>
      <c r="D503">
        <v>1</v>
      </c>
      <c r="E503" t="s">
        <v>45</v>
      </c>
      <c r="F503">
        <v>3</v>
      </c>
      <c r="G503" t="s">
        <v>43</v>
      </c>
      <c r="H503" t="s">
        <v>34</v>
      </c>
      <c r="I503" t="s">
        <v>27</v>
      </c>
      <c r="J503" t="s">
        <v>41</v>
      </c>
      <c r="K503" s="2">
        <v>160848.82999999999</v>
      </c>
      <c r="L503" s="2">
        <v>110645.09</v>
      </c>
      <c r="M503" s="2">
        <v>50203.74</v>
      </c>
      <c r="N503" s="2">
        <v>10024.219999999999</v>
      </c>
      <c r="O503" s="2">
        <v>40179.519999999997</v>
      </c>
      <c r="P503" s="3">
        <v>24.98</v>
      </c>
      <c r="Q503" s="2">
        <v>4597808.0199999996</v>
      </c>
      <c r="R503" s="2">
        <v>2298464.96</v>
      </c>
      <c r="S503" s="2">
        <v>2299343.06</v>
      </c>
      <c r="T503" s="2">
        <v>37048.79</v>
      </c>
      <c r="U503" s="2">
        <v>12510.73</v>
      </c>
      <c r="V503" s="2">
        <v>-3694.08</v>
      </c>
      <c r="W503" s="2">
        <v>45865.440000000002</v>
      </c>
    </row>
    <row r="504" spans="1:23" ht="15.75" customHeight="1">
      <c r="A504">
        <v>485</v>
      </c>
      <c r="B504" s="1">
        <v>45726</v>
      </c>
      <c r="C504" t="s">
        <v>58</v>
      </c>
      <c r="D504">
        <v>1</v>
      </c>
      <c r="E504" t="s">
        <v>45</v>
      </c>
      <c r="F504">
        <v>3</v>
      </c>
      <c r="G504" t="s">
        <v>25</v>
      </c>
      <c r="H504" t="s">
        <v>36</v>
      </c>
      <c r="I504" t="s">
        <v>38</v>
      </c>
      <c r="J504" t="s">
        <v>39</v>
      </c>
      <c r="K504" s="2">
        <v>100547.98</v>
      </c>
      <c r="L504" s="2">
        <v>80417.02</v>
      </c>
      <c r="M504" s="2">
        <v>20130.96</v>
      </c>
      <c r="N504" s="2">
        <v>1806.36</v>
      </c>
      <c r="O504" s="2">
        <v>18324.599999999999</v>
      </c>
      <c r="P504" s="3">
        <v>18.22</v>
      </c>
      <c r="Q504" s="2">
        <v>4689493.79</v>
      </c>
      <c r="R504" s="2">
        <v>1267115.0900000001</v>
      </c>
      <c r="S504" s="2">
        <v>3422378.7</v>
      </c>
      <c r="T504" s="2">
        <v>32108.98</v>
      </c>
      <c r="U504" s="2">
        <v>19044.09</v>
      </c>
      <c r="V504" s="2">
        <v>-13727.91</v>
      </c>
      <c r="W504" s="2">
        <v>37425.160000000003</v>
      </c>
    </row>
    <row r="505" spans="1:23" ht="15.75" customHeight="1">
      <c r="A505">
        <v>217</v>
      </c>
      <c r="B505" s="1">
        <v>45726</v>
      </c>
      <c r="C505" t="s">
        <v>58</v>
      </c>
      <c r="D505">
        <v>1</v>
      </c>
      <c r="E505" t="s">
        <v>45</v>
      </c>
      <c r="F505">
        <v>3</v>
      </c>
      <c r="G505" t="s">
        <v>40</v>
      </c>
      <c r="H505" t="s">
        <v>30</v>
      </c>
      <c r="I505" t="s">
        <v>38</v>
      </c>
      <c r="J505" t="s">
        <v>39</v>
      </c>
      <c r="K505" s="2">
        <v>32785.03</v>
      </c>
      <c r="L505" s="2">
        <v>15637.6</v>
      </c>
      <c r="M505" s="2">
        <v>17147.43</v>
      </c>
      <c r="N505" s="2">
        <v>2546.1999999999998</v>
      </c>
      <c r="O505" s="2">
        <v>14601.23</v>
      </c>
      <c r="P505" s="3">
        <v>44.54</v>
      </c>
      <c r="Q505" s="2">
        <v>1828807.22</v>
      </c>
      <c r="R505" s="2">
        <v>627196.26</v>
      </c>
      <c r="S505" s="2">
        <v>1201610.96</v>
      </c>
      <c r="T505" s="2">
        <v>7081.59</v>
      </c>
      <c r="U505" s="2">
        <v>10348.27</v>
      </c>
      <c r="V505" s="2">
        <v>52922.81</v>
      </c>
      <c r="W505" s="2">
        <v>70352.67</v>
      </c>
    </row>
    <row r="506" spans="1:23" ht="15.75" customHeight="1">
      <c r="A506">
        <v>253</v>
      </c>
      <c r="B506" s="1">
        <v>45730</v>
      </c>
      <c r="C506" t="s">
        <v>58</v>
      </c>
      <c r="D506">
        <v>1</v>
      </c>
      <c r="E506" t="s">
        <v>45</v>
      </c>
      <c r="F506">
        <v>3</v>
      </c>
      <c r="G506" t="s">
        <v>29</v>
      </c>
      <c r="H506" t="s">
        <v>34</v>
      </c>
      <c r="I506" t="s">
        <v>38</v>
      </c>
      <c r="J506" t="s">
        <v>29</v>
      </c>
      <c r="K506" s="2">
        <v>150037.5</v>
      </c>
      <c r="L506" s="2">
        <v>122190.18</v>
      </c>
      <c r="M506" s="2">
        <v>27847.32</v>
      </c>
      <c r="N506" s="2">
        <v>5798.43</v>
      </c>
      <c r="O506" s="2">
        <v>22048.89</v>
      </c>
      <c r="P506" s="3">
        <v>14.7</v>
      </c>
      <c r="Q506" s="2">
        <v>2269378.4</v>
      </c>
      <c r="R506" s="2">
        <v>1103496.8999999999</v>
      </c>
      <c r="S506" s="2">
        <v>1165881.5</v>
      </c>
      <c r="T506" s="2">
        <v>44930.03</v>
      </c>
      <c r="U506" s="2">
        <v>-62154.42</v>
      </c>
      <c r="V506" s="2">
        <v>14449.7</v>
      </c>
      <c r="W506" s="2">
        <v>-2774.69</v>
      </c>
    </row>
    <row r="507" spans="1:23" ht="15.75" customHeight="1">
      <c r="A507">
        <v>310</v>
      </c>
      <c r="B507" s="1">
        <v>45731</v>
      </c>
      <c r="C507" t="s">
        <v>58</v>
      </c>
      <c r="D507">
        <v>1</v>
      </c>
      <c r="E507" t="s">
        <v>45</v>
      </c>
      <c r="F507">
        <v>3</v>
      </c>
      <c r="G507" t="s">
        <v>43</v>
      </c>
      <c r="H507" t="s">
        <v>36</v>
      </c>
      <c r="I507" t="s">
        <v>31</v>
      </c>
      <c r="J507" t="s">
        <v>28</v>
      </c>
      <c r="K507" s="2">
        <v>78863.600000000006</v>
      </c>
      <c r="L507" s="2">
        <v>48193.2</v>
      </c>
      <c r="M507" s="2">
        <v>30670.400000000001</v>
      </c>
      <c r="N507" s="2">
        <v>4518.16</v>
      </c>
      <c r="O507" s="2">
        <v>26152.240000000002</v>
      </c>
      <c r="P507" s="3">
        <v>33.159999999999997</v>
      </c>
      <c r="Q507" s="2">
        <v>3511888.74</v>
      </c>
      <c r="R507" s="2">
        <v>2130863.92</v>
      </c>
      <c r="S507" s="2">
        <v>1381024.82</v>
      </c>
      <c r="T507" s="2">
        <v>20636.36</v>
      </c>
      <c r="U507" s="2">
        <v>-14812.29</v>
      </c>
      <c r="V507" s="2">
        <v>38940.94</v>
      </c>
      <c r="W507" s="2">
        <v>44765.01</v>
      </c>
    </row>
    <row r="508" spans="1:23" ht="15.75" customHeight="1">
      <c r="A508">
        <v>294</v>
      </c>
      <c r="B508" s="1">
        <v>45731</v>
      </c>
      <c r="C508" t="s">
        <v>58</v>
      </c>
      <c r="D508">
        <v>1</v>
      </c>
      <c r="E508" t="s">
        <v>45</v>
      </c>
      <c r="F508">
        <v>3</v>
      </c>
      <c r="G508" t="s">
        <v>29</v>
      </c>
      <c r="H508" t="s">
        <v>34</v>
      </c>
      <c r="I508" t="s">
        <v>38</v>
      </c>
      <c r="J508" t="s">
        <v>37</v>
      </c>
      <c r="K508" s="2">
        <v>89320.54</v>
      </c>
      <c r="L508" s="2">
        <v>63750.55</v>
      </c>
      <c r="M508" s="2">
        <v>25569.99</v>
      </c>
      <c r="N508" s="2">
        <v>3724.42</v>
      </c>
      <c r="O508" s="2">
        <v>21845.57</v>
      </c>
      <c r="P508" s="3">
        <v>24.46</v>
      </c>
      <c r="Q508" s="2">
        <v>3148272.21</v>
      </c>
      <c r="R508" s="2">
        <v>1020509.64</v>
      </c>
      <c r="S508" s="2">
        <v>2127762.5699999998</v>
      </c>
      <c r="T508" s="2">
        <v>39827.279999999999</v>
      </c>
      <c r="U508" s="2">
        <v>16151.37</v>
      </c>
      <c r="V508" s="2">
        <v>46863.96</v>
      </c>
      <c r="W508" s="2">
        <v>102842.61</v>
      </c>
    </row>
    <row r="509" spans="1:23" ht="15.75" customHeight="1">
      <c r="A509">
        <v>424</v>
      </c>
      <c r="B509" s="1">
        <v>45732</v>
      </c>
      <c r="C509" t="s">
        <v>58</v>
      </c>
      <c r="D509">
        <v>1</v>
      </c>
      <c r="E509" t="s">
        <v>45</v>
      </c>
      <c r="F509">
        <v>3</v>
      </c>
      <c r="G509" t="s">
        <v>25</v>
      </c>
      <c r="H509" t="s">
        <v>26</v>
      </c>
      <c r="I509" t="s">
        <v>31</v>
      </c>
      <c r="J509" t="s">
        <v>39</v>
      </c>
      <c r="K509" s="2">
        <v>166284.78</v>
      </c>
      <c r="L509" s="2">
        <v>88457.08</v>
      </c>
      <c r="M509" s="2">
        <v>77827.7</v>
      </c>
      <c r="N509" s="2">
        <v>6969.28</v>
      </c>
      <c r="O509" s="2">
        <v>70858.42</v>
      </c>
      <c r="P509" s="3">
        <v>42.61</v>
      </c>
      <c r="Q509" s="2">
        <v>1650375.92</v>
      </c>
      <c r="R509" s="2">
        <v>760865.32</v>
      </c>
      <c r="S509" s="2">
        <v>889510.6</v>
      </c>
      <c r="T509" s="2">
        <v>54586.13</v>
      </c>
      <c r="U509" s="2">
        <v>-53254.03</v>
      </c>
      <c r="V509" s="2">
        <v>6259.35</v>
      </c>
      <c r="W509" s="2">
        <v>7591.45</v>
      </c>
    </row>
    <row r="510" spans="1:23" ht="15.75" customHeight="1">
      <c r="A510">
        <v>420</v>
      </c>
      <c r="B510" s="1">
        <v>45736</v>
      </c>
      <c r="C510" t="s">
        <v>58</v>
      </c>
      <c r="D510">
        <v>1</v>
      </c>
      <c r="E510" t="s">
        <v>45</v>
      </c>
      <c r="F510">
        <v>3</v>
      </c>
      <c r="G510" t="s">
        <v>43</v>
      </c>
      <c r="H510" t="s">
        <v>30</v>
      </c>
      <c r="I510" t="s">
        <v>27</v>
      </c>
      <c r="J510" t="s">
        <v>28</v>
      </c>
      <c r="K510" s="2">
        <v>37704.69</v>
      </c>
      <c r="L510" s="2">
        <v>25990.97</v>
      </c>
      <c r="M510" s="2">
        <v>11713.72</v>
      </c>
      <c r="N510" s="2">
        <v>2181.64</v>
      </c>
      <c r="O510" s="2">
        <v>9532.08</v>
      </c>
      <c r="P510" s="3">
        <v>25.28</v>
      </c>
      <c r="Q510" s="2">
        <v>3372577.6</v>
      </c>
      <c r="R510" s="2">
        <v>1257493.4099999999</v>
      </c>
      <c r="S510" s="2">
        <v>2115084.19</v>
      </c>
      <c r="T510" s="2">
        <v>48306.45</v>
      </c>
      <c r="U510" s="2">
        <v>25947.22</v>
      </c>
      <c r="V510" s="2">
        <v>-18228.75</v>
      </c>
      <c r="W510" s="2">
        <v>56024.92</v>
      </c>
    </row>
    <row r="511" spans="1:23" ht="15.75" customHeight="1">
      <c r="A511">
        <v>160</v>
      </c>
      <c r="B511" s="1">
        <v>45767</v>
      </c>
      <c r="C511" t="s">
        <v>58</v>
      </c>
      <c r="D511">
        <v>2</v>
      </c>
      <c r="E511" t="s">
        <v>46</v>
      </c>
      <c r="F511">
        <v>4</v>
      </c>
      <c r="G511" t="s">
        <v>25</v>
      </c>
      <c r="H511" t="s">
        <v>34</v>
      </c>
      <c r="I511" t="s">
        <v>27</v>
      </c>
      <c r="J511" t="s">
        <v>41</v>
      </c>
      <c r="K511" s="2">
        <v>67325.98</v>
      </c>
      <c r="L511" s="2">
        <v>43202.35</v>
      </c>
      <c r="M511" s="2">
        <v>24123.63</v>
      </c>
      <c r="N511" s="2">
        <v>3154.97</v>
      </c>
      <c r="O511" s="2">
        <v>20968.66</v>
      </c>
      <c r="P511" s="3">
        <v>31.14</v>
      </c>
      <c r="Q511" s="2">
        <v>4733056.5999999996</v>
      </c>
      <c r="R511" s="2">
        <v>1674170.64</v>
      </c>
      <c r="S511" s="2">
        <v>3058885.96</v>
      </c>
      <c r="T511" s="2">
        <v>25341.21</v>
      </c>
      <c r="U511" s="2">
        <v>17273.03</v>
      </c>
      <c r="V511" s="2">
        <v>44193.36</v>
      </c>
      <c r="W511" s="2">
        <v>86807.6</v>
      </c>
    </row>
    <row r="512" spans="1:23" ht="15.75" customHeight="1">
      <c r="A512">
        <v>177</v>
      </c>
      <c r="B512" s="1">
        <v>45774</v>
      </c>
      <c r="C512" t="s">
        <v>58</v>
      </c>
      <c r="D512">
        <v>2</v>
      </c>
      <c r="E512" t="s">
        <v>46</v>
      </c>
      <c r="F512">
        <v>4</v>
      </c>
      <c r="G512" t="s">
        <v>37</v>
      </c>
      <c r="H512" t="s">
        <v>34</v>
      </c>
      <c r="I512" t="s">
        <v>31</v>
      </c>
      <c r="J512" t="s">
        <v>32</v>
      </c>
      <c r="K512" s="2">
        <v>64419.91</v>
      </c>
      <c r="L512" s="2">
        <v>48516.21</v>
      </c>
      <c r="M512" s="2">
        <v>15903.7</v>
      </c>
      <c r="N512" s="2">
        <v>3651.01</v>
      </c>
      <c r="O512" s="2">
        <v>12252.69</v>
      </c>
      <c r="P512" s="3">
        <v>19.02</v>
      </c>
      <c r="Q512" s="2">
        <v>2864457.11</v>
      </c>
      <c r="R512" s="2">
        <v>996074.79</v>
      </c>
      <c r="S512" s="2">
        <v>1868382.32</v>
      </c>
      <c r="T512" s="2">
        <v>-8711.85</v>
      </c>
      <c r="U512" s="2">
        <v>-61282.05</v>
      </c>
      <c r="V512" s="2">
        <v>31907.74</v>
      </c>
      <c r="W512" s="2">
        <v>-38086.160000000003</v>
      </c>
    </row>
    <row r="513" spans="1:23" ht="15.75" customHeight="1">
      <c r="A513">
        <v>212</v>
      </c>
      <c r="B513" s="1">
        <v>45776</v>
      </c>
      <c r="C513" t="s">
        <v>58</v>
      </c>
      <c r="D513">
        <v>2</v>
      </c>
      <c r="E513" t="s">
        <v>46</v>
      </c>
      <c r="F513">
        <v>4</v>
      </c>
      <c r="G513" t="s">
        <v>40</v>
      </c>
      <c r="H513" t="s">
        <v>30</v>
      </c>
      <c r="I513" t="s">
        <v>38</v>
      </c>
      <c r="J513" t="s">
        <v>39</v>
      </c>
      <c r="K513" s="2">
        <v>73344.36</v>
      </c>
      <c r="L513" s="2">
        <v>39953.43</v>
      </c>
      <c r="M513" s="2">
        <v>33390.93</v>
      </c>
      <c r="N513" s="2">
        <v>2846.05</v>
      </c>
      <c r="O513" s="2">
        <v>30544.880000000001</v>
      </c>
      <c r="P513" s="3">
        <v>41.65</v>
      </c>
      <c r="Q513" s="2">
        <v>4871898.6900000004</v>
      </c>
      <c r="R513" s="2">
        <v>1648154.53</v>
      </c>
      <c r="S513" s="2">
        <v>3223744.16</v>
      </c>
      <c r="T513" s="2">
        <v>59267.26</v>
      </c>
      <c r="U513" s="2">
        <v>6259.64</v>
      </c>
      <c r="V513" s="2">
        <v>52925.74</v>
      </c>
      <c r="W513" s="2">
        <v>118452.64</v>
      </c>
    </row>
    <row r="514" spans="1:23" ht="15.75" customHeight="1">
      <c r="A514">
        <v>96</v>
      </c>
      <c r="B514" s="1">
        <v>45776</v>
      </c>
      <c r="C514" t="s">
        <v>58</v>
      </c>
      <c r="D514">
        <v>2</v>
      </c>
      <c r="E514" t="s">
        <v>46</v>
      </c>
      <c r="F514">
        <v>4</v>
      </c>
      <c r="G514" t="s">
        <v>43</v>
      </c>
      <c r="H514" t="s">
        <v>26</v>
      </c>
      <c r="I514" t="s">
        <v>27</v>
      </c>
      <c r="J514" t="s">
        <v>41</v>
      </c>
      <c r="K514" s="2">
        <v>117608.76</v>
      </c>
      <c r="L514" s="2">
        <v>87032.6</v>
      </c>
      <c r="M514" s="2">
        <v>30576.16</v>
      </c>
      <c r="N514" s="2">
        <v>4945.8100000000004</v>
      </c>
      <c r="O514" s="2">
        <v>25630.35</v>
      </c>
      <c r="P514" s="3">
        <v>21.79</v>
      </c>
      <c r="Q514" s="2">
        <v>683393.48</v>
      </c>
      <c r="R514" s="2">
        <v>215678.84</v>
      </c>
      <c r="S514" s="2">
        <v>467714.64</v>
      </c>
      <c r="T514" s="2">
        <v>30718.93</v>
      </c>
      <c r="U514" s="2">
        <v>2482.66</v>
      </c>
      <c r="V514" s="2">
        <v>19327.86</v>
      </c>
      <c r="W514" s="2">
        <v>52529.45</v>
      </c>
    </row>
    <row r="515" spans="1:23" ht="15.75" customHeight="1">
      <c r="A515">
        <v>39</v>
      </c>
      <c r="B515" s="1">
        <v>45781</v>
      </c>
      <c r="C515" t="s">
        <v>58</v>
      </c>
      <c r="D515">
        <v>2</v>
      </c>
      <c r="E515" t="s">
        <v>47</v>
      </c>
      <c r="F515">
        <v>5</v>
      </c>
      <c r="G515" t="s">
        <v>29</v>
      </c>
      <c r="H515" t="s">
        <v>26</v>
      </c>
      <c r="I515" t="s">
        <v>31</v>
      </c>
      <c r="J515" t="s">
        <v>37</v>
      </c>
      <c r="K515" s="2">
        <v>141327.79999999999</v>
      </c>
      <c r="L515" s="2">
        <v>105406.33</v>
      </c>
      <c r="M515" s="2">
        <v>35921.47</v>
      </c>
      <c r="N515" s="2">
        <v>7912.51</v>
      </c>
      <c r="O515" s="2">
        <v>28008.959999999999</v>
      </c>
      <c r="P515" s="3">
        <v>19.82</v>
      </c>
      <c r="Q515" s="2">
        <v>1338822.44</v>
      </c>
      <c r="R515" s="2">
        <v>460925.37</v>
      </c>
      <c r="S515" s="2">
        <v>877897.07</v>
      </c>
      <c r="T515" s="2">
        <v>48709.65</v>
      </c>
      <c r="U515" s="2">
        <v>20786.61</v>
      </c>
      <c r="V515" s="2">
        <v>-8380.34</v>
      </c>
      <c r="W515" s="2">
        <v>61115.92</v>
      </c>
    </row>
    <row r="516" spans="1:23" ht="15.75" customHeight="1">
      <c r="A516">
        <v>84</v>
      </c>
      <c r="B516" s="1">
        <v>45782</v>
      </c>
      <c r="C516" t="s">
        <v>58</v>
      </c>
      <c r="D516">
        <v>2</v>
      </c>
      <c r="E516" t="s">
        <v>47</v>
      </c>
      <c r="F516">
        <v>5</v>
      </c>
      <c r="G516" t="s">
        <v>43</v>
      </c>
      <c r="H516" t="s">
        <v>34</v>
      </c>
      <c r="I516" t="s">
        <v>38</v>
      </c>
      <c r="J516" t="s">
        <v>28</v>
      </c>
      <c r="K516" s="2">
        <v>144502.57</v>
      </c>
      <c r="L516" s="2">
        <v>102910.63</v>
      </c>
      <c r="M516" s="2">
        <v>41591.94</v>
      </c>
      <c r="N516" s="2">
        <v>6675.82</v>
      </c>
      <c r="O516" s="2">
        <v>34916.120000000003</v>
      </c>
      <c r="P516" s="3">
        <v>24.16</v>
      </c>
      <c r="Q516" s="2">
        <v>760642.07</v>
      </c>
      <c r="R516" s="2">
        <v>212886.8</v>
      </c>
      <c r="S516" s="2">
        <v>547755.27</v>
      </c>
      <c r="T516" s="2">
        <v>73109.289999999994</v>
      </c>
      <c r="U516" s="2">
        <v>29014.84</v>
      </c>
      <c r="V516" s="2">
        <v>27605.23</v>
      </c>
      <c r="W516" s="2">
        <v>129729.36</v>
      </c>
    </row>
    <row r="517" spans="1:23" ht="15.75" customHeight="1">
      <c r="A517">
        <v>266</v>
      </c>
      <c r="B517" s="1">
        <v>45786</v>
      </c>
      <c r="C517" t="s">
        <v>58</v>
      </c>
      <c r="D517">
        <v>2</v>
      </c>
      <c r="E517" t="s">
        <v>47</v>
      </c>
      <c r="F517">
        <v>5</v>
      </c>
      <c r="G517" t="s">
        <v>40</v>
      </c>
      <c r="H517" t="s">
        <v>26</v>
      </c>
      <c r="I517" t="s">
        <v>31</v>
      </c>
      <c r="J517" t="s">
        <v>39</v>
      </c>
      <c r="K517" s="2">
        <v>36931.82</v>
      </c>
      <c r="L517" s="2">
        <v>17652.150000000001</v>
      </c>
      <c r="M517" s="2">
        <v>19279.669999999998</v>
      </c>
      <c r="N517" s="2">
        <v>4660.7</v>
      </c>
      <c r="O517" s="2">
        <v>14618.97</v>
      </c>
      <c r="P517" s="3">
        <v>39.58</v>
      </c>
      <c r="Q517" s="2">
        <v>1837808.56</v>
      </c>
      <c r="R517" s="2">
        <v>527132.74</v>
      </c>
      <c r="S517" s="2">
        <v>1310675.82</v>
      </c>
      <c r="T517" s="2">
        <v>32542.54</v>
      </c>
      <c r="U517" s="2">
        <v>-7635.12</v>
      </c>
      <c r="V517" s="2">
        <v>24850.48</v>
      </c>
      <c r="W517" s="2">
        <v>49757.9</v>
      </c>
    </row>
    <row r="518" spans="1:23" ht="15.75" customHeight="1">
      <c r="A518">
        <v>53</v>
      </c>
      <c r="B518" s="1">
        <v>45787</v>
      </c>
      <c r="C518" t="s">
        <v>58</v>
      </c>
      <c r="D518">
        <v>2</v>
      </c>
      <c r="E518" t="s">
        <v>47</v>
      </c>
      <c r="F518">
        <v>5</v>
      </c>
      <c r="G518" t="s">
        <v>37</v>
      </c>
      <c r="H518" t="s">
        <v>34</v>
      </c>
      <c r="I518" t="s">
        <v>38</v>
      </c>
      <c r="J518" t="s">
        <v>28</v>
      </c>
      <c r="K518" s="2">
        <v>164101.71</v>
      </c>
      <c r="L518" s="2">
        <v>105818.37</v>
      </c>
      <c r="M518" s="2">
        <v>58283.34</v>
      </c>
      <c r="N518" s="2">
        <v>12596.63</v>
      </c>
      <c r="O518" s="2">
        <v>45686.71</v>
      </c>
      <c r="P518" s="3">
        <v>27.84</v>
      </c>
      <c r="Q518" s="2">
        <v>4905191.46</v>
      </c>
      <c r="R518" s="2">
        <v>2874027.92</v>
      </c>
      <c r="S518" s="2">
        <v>2031163.54</v>
      </c>
      <c r="T518" s="2">
        <v>85046.21</v>
      </c>
      <c r="U518" s="2">
        <v>-29201.55</v>
      </c>
      <c r="V518" s="2">
        <v>15172.26</v>
      </c>
      <c r="W518" s="2">
        <v>71016.92</v>
      </c>
    </row>
    <row r="519" spans="1:23" ht="15.75" customHeight="1">
      <c r="A519">
        <v>334</v>
      </c>
      <c r="B519" s="1">
        <v>45792</v>
      </c>
      <c r="C519" t="s">
        <v>58</v>
      </c>
      <c r="D519">
        <v>2</v>
      </c>
      <c r="E519" t="s">
        <v>47</v>
      </c>
      <c r="F519">
        <v>5</v>
      </c>
      <c r="G519" t="s">
        <v>29</v>
      </c>
      <c r="H519" t="s">
        <v>26</v>
      </c>
      <c r="I519" t="s">
        <v>31</v>
      </c>
      <c r="J519" t="s">
        <v>32</v>
      </c>
      <c r="K519" s="2">
        <v>100301.7</v>
      </c>
      <c r="L519" s="2">
        <v>49474.99</v>
      </c>
      <c r="M519" s="2">
        <v>50826.71</v>
      </c>
      <c r="N519" s="2">
        <v>9960.31</v>
      </c>
      <c r="O519" s="2">
        <v>40866.400000000001</v>
      </c>
      <c r="P519" s="3">
        <v>40.74</v>
      </c>
      <c r="Q519" s="2">
        <v>4774548.51</v>
      </c>
      <c r="R519" s="2">
        <v>1455453.23</v>
      </c>
      <c r="S519" s="2">
        <v>3319095.28</v>
      </c>
      <c r="T519" s="2">
        <v>69577.05</v>
      </c>
      <c r="U519" s="2">
        <v>-6776.18</v>
      </c>
      <c r="V519" s="2">
        <v>18360.5</v>
      </c>
      <c r="W519" s="2">
        <v>81161.37</v>
      </c>
    </row>
    <row r="520" spans="1:23" ht="15.75" customHeight="1">
      <c r="A520">
        <v>526</v>
      </c>
      <c r="B520" s="1">
        <v>45792</v>
      </c>
      <c r="C520" t="s">
        <v>58</v>
      </c>
      <c r="D520">
        <v>2</v>
      </c>
      <c r="E520" t="s">
        <v>47</v>
      </c>
      <c r="F520">
        <v>5</v>
      </c>
      <c r="G520" t="s">
        <v>43</v>
      </c>
      <c r="H520" t="s">
        <v>30</v>
      </c>
      <c r="I520" t="s">
        <v>38</v>
      </c>
      <c r="J520" t="s">
        <v>37</v>
      </c>
      <c r="K520" s="2">
        <v>40129.56</v>
      </c>
      <c r="L520" s="2">
        <v>20535.66</v>
      </c>
      <c r="M520" s="2">
        <v>19593.900000000001</v>
      </c>
      <c r="N520" s="2">
        <v>4644.43</v>
      </c>
      <c r="O520" s="2">
        <v>14949.47</v>
      </c>
      <c r="P520" s="3">
        <v>37.25</v>
      </c>
      <c r="Q520" s="2">
        <v>4196620.6399999997</v>
      </c>
      <c r="R520" s="2">
        <v>1643505.02</v>
      </c>
      <c r="S520" s="2">
        <v>2553115.62</v>
      </c>
      <c r="T520" s="2">
        <v>37415.129999999997</v>
      </c>
      <c r="U520" s="2">
        <v>-16272.43</v>
      </c>
      <c r="V520" s="2">
        <v>27712.43</v>
      </c>
      <c r="W520" s="2">
        <v>48855.13</v>
      </c>
    </row>
    <row r="521" spans="1:23" ht="15.75" customHeight="1">
      <c r="A521">
        <v>154</v>
      </c>
      <c r="B521" s="1">
        <v>45794</v>
      </c>
      <c r="C521" t="s">
        <v>58</v>
      </c>
      <c r="D521">
        <v>2</v>
      </c>
      <c r="E521" t="s">
        <v>47</v>
      </c>
      <c r="F521">
        <v>5</v>
      </c>
      <c r="G521" t="s">
        <v>25</v>
      </c>
      <c r="H521" t="s">
        <v>36</v>
      </c>
      <c r="I521" t="s">
        <v>35</v>
      </c>
      <c r="J521" t="s">
        <v>37</v>
      </c>
      <c r="K521" s="2">
        <v>160880.87</v>
      </c>
      <c r="L521" s="2">
        <v>131704.10999999999</v>
      </c>
      <c r="M521" s="2">
        <v>29176.76</v>
      </c>
      <c r="N521" s="2">
        <v>4160.97</v>
      </c>
      <c r="O521" s="2">
        <v>25015.79</v>
      </c>
      <c r="P521" s="3">
        <v>15.55</v>
      </c>
      <c r="Q521" s="2">
        <v>2518747.84</v>
      </c>
      <c r="R521" s="2">
        <v>1357172.81</v>
      </c>
      <c r="S521" s="2">
        <v>1161575.03</v>
      </c>
      <c r="T521" s="2">
        <v>65911.45</v>
      </c>
      <c r="U521" s="2">
        <v>-10695.57</v>
      </c>
      <c r="V521" s="2">
        <v>-847.43</v>
      </c>
      <c r="W521" s="2">
        <v>54368.45</v>
      </c>
    </row>
    <row r="522" spans="1:23" ht="15.75" customHeight="1">
      <c r="A522">
        <v>206</v>
      </c>
      <c r="B522" s="1">
        <v>45794</v>
      </c>
      <c r="C522" t="s">
        <v>58</v>
      </c>
      <c r="D522">
        <v>2</v>
      </c>
      <c r="E522" t="s">
        <v>47</v>
      </c>
      <c r="F522">
        <v>5</v>
      </c>
      <c r="G522" t="s">
        <v>25</v>
      </c>
      <c r="H522" t="s">
        <v>30</v>
      </c>
      <c r="I522" t="s">
        <v>31</v>
      </c>
      <c r="J522" t="s">
        <v>28</v>
      </c>
      <c r="K522" s="2">
        <v>103654.19</v>
      </c>
      <c r="L522" s="2">
        <v>72623.58</v>
      </c>
      <c r="M522" s="2">
        <v>31030.61</v>
      </c>
      <c r="N522" s="2">
        <v>3722.32</v>
      </c>
      <c r="O522" s="2">
        <v>27308.29</v>
      </c>
      <c r="P522" s="3">
        <v>26.35</v>
      </c>
      <c r="Q522" s="2">
        <v>4238098.3</v>
      </c>
      <c r="R522" s="2">
        <v>1983137.84</v>
      </c>
      <c r="S522" s="2">
        <v>2254960.46</v>
      </c>
      <c r="T522" s="2">
        <v>10527.65</v>
      </c>
      <c r="U522" s="2">
        <v>-11701.56</v>
      </c>
      <c r="V522" s="2">
        <v>59971.38</v>
      </c>
      <c r="W522" s="2">
        <v>58797.47</v>
      </c>
    </row>
    <row r="523" spans="1:23" ht="15.75" customHeight="1">
      <c r="A523">
        <v>181</v>
      </c>
      <c r="B523" s="1">
        <v>45795</v>
      </c>
      <c r="C523" t="s">
        <v>58</v>
      </c>
      <c r="D523">
        <v>2</v>
      </c>
      <c r="E523" t="s">
        <v>47</v>
      </c>
      <c r="F523">
        <v>5</v>
      </c>
      <c r="G523" t="s">
        <v>25</v>
      </c>
      <c r="H523" t="s">
        <v>34</v>
      </c>
      <c r="I523" t="s">
        <v>31</v>
      </c>
      <c r="J523" t="s">
        <v>28</v>
      </c>
      <c r="K523" s="2">
        <v>164321.35</v>
      </c>
      <c r="L523" s="2">
        <v>113510.62</v>
      </c>
      <c r="M523" s="2">
        <v>50810.73</v>
      </c>
      <c r="N523" s="2">
        <v>11616.28</v>
      </c>
      <c r="O523" s="2">
        <v>39194.449999999997</v>
      </c>
      <c r="P523" s="3">
        <v>23.85</v>
      </c>
      <c r="Q523" s="2">
        <v>500847.8</v>
      </c>
      <c r="R523" s="2">
        <v>159085.5</v>
      </c>
      <c r="S523" s="2">
        <v>341762.3</v>
      </c>
      <c r="T523" s="2">
        <v>40375.199999999997</v>
      </c>
      <c r="U523" s="2">
        <v>-32049.71</v>
      </c>
      <c r="V523" s="2">
        <v>-17326.96</v>
      </c>
      <c r="W523" s="2">
        <v>-9001.4699999999993</v>
      </c>
    </row>
    <row r="524" spans="1:23" ht="15.75" customHeight="1">
      <c r="A524">
        <v>380</v>
      </c>
      <c r="B524" s="1">
        <v>45800</v>
      </c>
      <c r="C524" t="s">
        <v>58</v>
      </c>
      <c r="D524">
        <v>2</v>
      </c>
      <c r="E524" t="s">
        <v>47</v>
      </c>
      <c r="F524">
        <v>5</v>
      </c>
      <c r="G524" t="s">
        <v>43</v>
      </c>
      <c r="H524" t="s">
        <v>36</v>
      </c>
      <c r="I524" t="s">
        <v>27</v>
      </c>
      <c r="J524" t="s">
        <v>37</v>
      </c>
      <c r="K524" s="2">
        <v>176152.9</v>
      </c>
      <c r="L524" s="2">
        <v>133574.21</v>
      </c>
      <c r="M524" s="2">
        <v>42578.69</v>
      </c>
      <c r="N524" s="2">
        <v>5599.65</v>
      </c>
      <c r="O524" s="2">
        <v>36979.040000000001</v>
      </c>
      <c r="P524" s="3">
        <v>20.99</v>
      </c>
      <c r="Q524" s="2">
        <v>4849463.82</v>
      </c>
      <c r="R524" s="2">
        <v>2430783.13</v>
      </c>
      <c r="S524" s="2">
        <v>2418680.69</v>
      </c>
      <c r="T524" s="2">
        <v>81430.44</v>
      </c>
      <c r="U524" s="2">
        <v>-2389.5</v>
      </c>
      <c r="V524" s="2">
        <v>-9276.1</v>
      </c>
      <c r="W524" s="2">
        <v>69764.84</v>
      </c>
    </row>
    <row r="525" spans="1:23" ht="15.75" customHeight="1">
      <c r="A525">
        <v>572</v>
      </c>
      <c r="B525" s="1">
        <v>45821</v>
      </c>
      <c r="C525" t="s">
        <v>58</v>
      </c>
      <c r="D525">
        <v>2</v>
      </c>
      <c r="E525" t="s">
        <v>48</v>
      </c>
      <c r="F525">
        <v>6</v>
      </c>
      <c r="G525" t="s">
        <v>43</v>
      </c>
      <c r="H525" t="s">
        <v>26</v>
      </c>
      <c r="I525" t="s">
        <v>31</v>
      </c>
      <c r="J525" t="s">
        <v>44</v>
      </c>
      <c r="K525" s="2">
        <v>167697.35999999999</v>
      </c>
      <c r="L525" s="2">
        <v>81273.55</v>
      </c>
      <c r="M525" s="2">
        <v>86423.81</v>
      </c>
      <c r="N525" s="2">
        <v>20945.740000000002</v>
      </c>
      <c r="O525" s="2">
        <v>65478.07</v>
      </c>
      <c r="P525" s="3">
        <v>39.049999999999997</v>
      </c>
      <c r="Q525" s="2">
        <v>3249168.74</v>
      </c>
      <c r="R525" s="2">
        <v>813940.26</v>
      </c>
      <c r="S525" s="2">
        <v>2435228.48</v>
      </c>
      <c r="T525" s="2">
        <v>106998.65</v>
      </c>
      <c r="U525" s="2">
        <v>-17828.82</v>
      </c>
      <c r="V525" s="2">
        <v>-13733.03</v>
      </c>
      <c r="W525" s="2">
        <v>75436.800000000003</v>
      </c>
    </row>
    <row r="526" spans="1:23" ht="15.75" customHeight="1">
      <c r="A526">
        <v>552</v>
      </c>
      <c r="B526" s="1">
        <v>45824</v>
      </c>
      <c r="C526" t="s">
        <v>58</v>
      </c>
      <c r="D526">
        <v>2</v>
      </c>
      <c r="E526" t="s">
        <v>48</v>
      </c>
      <c r="F526">
        <v>6</v>
      </c>
      <c r="G526" t="s">
        <v>33</v>
      </c>
      <c r="H526" t="s">
        <v>26</v>
      </c>
      <c r="I526" t="s">
        <v>38</v>
      </c>
      <c r="J526" t="s">
        <v>41</v>
      </c>
      <c r="K526" s="2">
        <v>96232.26</v>
      </c>
      <c r="L526" s="2">
        <v>61070.74</v>
      </c>
      <c r="M526" s="2">
        <v>35161.519999999997</v>
      </c>
      <c r="N526" s="2">
        <v>3244.57</v>
      </c>
      <c r="O526" s="2">
        <v>31916.95</v>
      </c>
      <c r="P526" s="3">
        <v>33.17</v>
      </c>
      <c r="Q526" s="2">
        <v>3579959.12</v>
      </c>
      <c r="R526" s="2">
        <v>1615593.19</v>
      </c>
      <c r="S526" s="2">
        <v>1964365.93</v>
      </c>
      <c r="T526" s="2">
        <v>63128.86</v>
      </c>
      <c r="U526" s="2">
        <v>-21470.94</v>
      </c>
      <c r="V526" s="2">
        <v>-25061.84</v>
      </c>
      <c r="W526" s="2">
        <v>16596.080000000002</v>
      </c>
    </row>
    <row r="527" spans="1:23" ht="15.75" customHeight="1">
      <c r="A527">
        <v>244</v>
      </c>
      <c r="B527" s="1">
        <v>45828</v>
      </c>
      <c r="C527" t="s">
        <v>58</v>
      </c>
      <c r="D527">
        <v>2</v>
      </c>
      <c r="E527" t="s">
        <v>48</v>
      </c>
      <c r="F527">
        <v>6</v>
      </c>
      <c r="G527" t="s">
        <v>37</v>
      </c>
      <c r="H527" t="s">
        <v>36</v>
      </c>
      <c r="I527" t="s">
        <v>31</v>
      </c>
      <c r="J527" t="s">
        <v>32</v>
      </c>
      <c r="K527" s="2">
        <v>173001.28</v>
      </c>
      <c r="L527" s="2">
        <v>109514.97</v>
      </c>
      <c r="M527" s="2">
        <v>63486.31</v>
      </c>
      <c r="N527" s="2">
        <v>10612.53</v>
      </c>
      <c r="O527" s="2">
        <v>52873.78</v>
      </c>
      <c r="P527" s="3">
        <v>30.56</v>
      </c>
      <c r="Q527" s="2">
        <v>2666972.0299999998</v>
      </c>
      <c r="R527" s="2">
        <v>1344627.18</v>
      </c>
      <c r="S527" s="2">
        <v>1322344.8500000001</v>
      </c>
      <c r="T527" s="2">
        <v>30131.52</v>
      </c>
      <c r="U527" s="2">
        <v>-66738.210000000006</v>
      </c>
      <c r="V527" s="2">
        <v>-34229.71</v>
      </c>
      <c r="W527" s="2">
        <v>-70836.399999999994</v>
      </c>
    </row>
    <row r="528" spans="1:23" ht="15.75" customHeight="1">
      <c r="A528">
        <v>411</v>
      </c>
      <c r="B528" s="1">
        <v>45829</v>
      </c>
      <c r="C528" t="s">
        <v>58</v>
      </c>
      <c r="D528">
        <v>2</v>
      </c>
      <c r="E528" t="s">
        <v>48</v>
      </c>
      <c r="F528">
        <v>6</v>
      </c>
      <c r="G528" t="s">
        <v>37</v>
      </c>
      <c r="H528" t="s">
        <v>34</v>
      </c>
      <c r="I528" t="s">
        <v>38</v>
      </c>
      <c r="J528" t="s">
        <v>39</v>
      </c>
      <c r="K528" s="2">
        <v>127698.03</v>
      </c>
      <c r="L528" s="2">
        <v>95627.38</v>
      </c>
      <c r="M528" s="2">
        <v>32070.65</v>
      </c>
      <c r="N528" s="2">
        <v>7395.66</v>
      </c>
      <c r="O528" s="2">
        <v>24674.99</v>
      </c>
      <c r="P528" s="3">
        <v>19.32</v>
      </c>
      <c r="Q528" s="2">
        <v>4172355.69</v>
      </c>
      <c r="R528" s="2">
        <v>1074707.71</v>
      </c>
      <c r="S528" s="2">
        <v>3097647.98</v>
      </c>
      <c r="T528" s="2">
        <v>53548.43</v>
      </c>
      <c r="U528" s="2">
        <v>-49160.04</v>
      </c>
      <c r="V528" s="2">
        <v>-26707.200000000001</v>
      </c>
      <c r="W528" s="2">
        <v>-22318.81</v>
      </c>
    </row>
    <row r="529" spans="1:23" ht="15.75" customHeight="1">
      <c r="A529">
        <v>291</v>
      </c>
      <c r="B529" s="1">
        <v>45830</v>
      </c>
      <c r="C529" t="s">
        <v>58</v>
      </c>
      <c r="D529">
        <v>2</v>
      </c>
      <c r="E529" t="s">
        <v>48</v>
      </c>
      <c r="F529">
        <v>6</v>
      </c>
      <c r="G529" t="s">
        <v>33</v>
      </c>
      <c r="H529" t="s">
        <v>36</v>
      </c>
      <c r="I529" t="s">
        <v>31</v>
      </c>
      <c r="J529" t="s">
        <v>41</v>
      </c>
      <c r="K529" s="2">
        <v>58738.45</v>
      </c>
      <c r="L529" s="2">
        <v>40812.839999999997</v>
      </c>
      <c r="M529" s="2">
        <v>17925.61</v>
      </c>
      <c r="N529" s="2">
        <v>2908.94</v>
      </c>
      <c r="O529" s="2">
        <v>15016.67</v>
      </c>
      <c r="P529" s="3">
        <v>25.57</v>
      </c>
      <c r="Q529" s="2">
        <v>523910.64</v>
      </c>
      <c r="R529" s="2">
        <v>299570.98</v>
      </c>
      <c r="S529" s="2">
        <v>224339.66</v>
      </c>
      <c r="T529" s="2">
        <v>46841.440000000002</v>
      </c>
      <c r="U529" s="2">
        <v>-15158.08</v>
      </c>
      <c r="V529" s="2">
        <v>-33353.67</v>
      </c>
      <c r="W529" s="2">
        <v>-1670.31</v>
      </c>
    </row>
    <row r="530" spans="1:23" ht="15.75" customHeight="1">
      <c r="A530">
        <v>327</v>
      </c>
      <c r="B530" s="1">
        <v>45831</v>
      </c>
      <c r="C530" t="s">
        <v>58</v>
      </c>
      <c r="D530">
        <v>2</v>
      </c>
      <c r="E530" t="s">
        <v>48</v>
      </c>
      <c r="F530">
        <v>6</v>
      </c>
      <c r="G530" t="s">
        <v>37</v>
      </c>
      <c r="H530" t="s">
        <v>30</v>
      </c>
      <c r="I530" t="s">
        <v>35</v>
      </c>
      <c r="J530" t="s">
        <v>28</v>
      </c>
      <c r="K530" s="2">
        <v>27969.1</v>
      </c>
      <c r="L530" s="2">
        <v>21142.9</v>
      </c>
      <c r="M530" s="2">
        <v>6826.2</v>
      </c>
      <c r="N530" s="2">
        <v>1155.03</v>
      </c>
      <c r="O530" s="2">
        <v>5671.17</v>
      </c>
      <c r="P530" s="3">
        <v>20.28</v>
      </c>
      <c r="Q530" s="2">
        <v>3988598.23</v>
      </c>
      <c r="R530" s="2">
        <v>1371161.37</v>
      </c>
      <c r="S530" s="2">
        <v>2617436.86</v>
      </c>
      <c r="T530" s="2">
        <v>3277.87</v>
      </c>
      <c r="U530" s="2">
        <v>-66989.61</v>
      </c>
      <c r="V530" s="2">
        <v>56149.23</v>
      </c>
      <c r="W530" s="2">
        <v>-7562.51</v>
      </c>
    </row>
    <row r="531" spans="1:23" ht="15.75" customHeight="1">
      <c r="A531">
        <v>257</v>
      </c>
      <c r="B531" s="1">
        <v>45833</v>
      </c>
      <c r="C531" t="s">
        <v>58</v>
      </c>
      <c r="D531">
        <v>2</v>
      </c>
      <c r="E531" t="s">
        <v>48</v>
      </c>
      <c r="F531">
        <v>6</v>
      </c>
      <c r="G531" t="s">
        <v>29</v>
      </c>
      <c r="H531" t="s">
        <v>26</v>
      </c>
      <c r="I531" t="s">
        <v>38</v>
      </c>
      <c r="J531" t="s">
        <v>28</v>
      </c>
      <c r="K531" s="2">
        <v>137693.79999999999</v>
      </c>
      <c r="L531" s="2">
        <v>90597.97</v>
      </c>
      <c r="M531" s="2">
        <v>47095.83</v>
      </c>
      <c r="N531" s="2">
        <v>11350.35</v>
      </c>
      <c r="O531" s="2">
        <v>35745.480000000003</v>
      </c>
      <c r="P531" s="3">
        <v>25.96</v>
      </c>
      <c r="Q531" s="2">
        <v>2733164.39</v>
      </c>
      <c r="R531" s="2">
        <v>1099298.08</v>
      </c>
      <c r="S531" s="2">
        <v>1633866.31</v>
      </c>
      <c r="T531" s="2">
        <v>18788.310000000001</v>
      </c>
      <c r="U531" s="2">
        <v>8620.57</v>
      </c>
      <c r="V531" s="2">
        <v>33444.39</v>
      </c>
      <c r="W531" s="2">
        <v>60853.27</v>
      </c>
    </row>
    <row r="532" spans="1:23" ht="15.75" customHeight="1">
      <c r="A532">
        <v>9</v>
      </c>
      <c r="B532" s="1">
        <v>45835</v>
      </c>
      <c r="C532" t="s">
        <v>58</v>
      </c>
      <c r="D532">
        <v>2</v>
      </c>
      <c r="E532" t="s">
        <v>48</v>
      </c>
      <c r="F532">
        <v>6</v>
      </c>
      <c r="G532" t="s">
        <v>37</v>
      </c>
      <c r="H532" t="s">
        <v>30</v>
      </c>
      <c r="I532" t="s">
        <v>31</v>
      </c>
      <c r="J532" t="s">
        <v>37</v>
      </c>
      <c r="K532" s="2">
        <v>147694.75</v>
      </c>
      <c r="L532" s="2">
        <v>109612.95</v>
      </c>
      <c r="M532" s="2">
        <v>38081.800000000003</v>
      </c>
      <c r="N532" s="2">
        <v>3637</v>
      </c>
      <c r="O532" s="2">
        <v>34444.800000000003</v>
      </c>
      <c r="P532" s="3">
        <v>23.32</v>
      </c>
      <c r="Q532" s="2">
        <v>2724891.37</v>
      </c>
      <c r="R532" s="2">
        <v>743959.39</v>
      </c>
      <c r="S532" s="2">
        <v>1980931.98</v>
      </c>
      <c r="T532" s="2">
        <v>48407.11</v>
      </c>
      <c r="U532" s="2">
        <v>-25846.95</v>
      </c>
      <c r="V532" s="2">
        <v>48770.42</v>
      </c>
      <c r="W532" s="2">
        <v>71330.58</v>
      </c>
    </row>
    <row r="533" spans="1:23" ht="15.75" customHeight="1">
      <c r="A533">
        <v>211</v>
      </c>
      <c r="B533" s="1">
        <v>45840</v>
      </c>
      <c r="C533" t="s">
        <v>58</v>
      </c>
      <c r="D533">
        <v>3</v>
      </c>
      <c r="E533" t="s">
        <v>49</v>
      </c>
      <c r="F533">
        <v>7</v>
      </c>
      <c r="G533" t="s">
        <v>33</v>
      </c>
      <c r="H533" t="s">
        <v>26</v>
      </c>
      <c r="I533" t="s">
        <v>27</v>
      </c>
      <c r="J533" t="s">
        <v>28</v>
      </c>
      <c r="K533" s="2">
        <v>93735.65</v>
      </c>
      <c r="L533" s="2">
        <v>63063.78</v>
      </c>
      <c r="M533" s="2">
        <v>30671.87</v>
      </c>
      <c r="N533" s="2">
        <v>5537.47</v>
      </c>
      <c r="O533" s="2">
        <v>25134.400000000001</v>
      </c>
      <c r="P533" s="3">
        <v>26.81</v>
      </c>
      <c r="Q533" s="2">
        <v>4129652.04</v>
      </c>
      <c r="R533" s="2">
        <v>1819497.24</v>
      </c>
      <c r="S533" s="2">
        <v>2310154.7999999998</v>
      </c>
      <c r="T533" s="2">
        <v>74824.240000000005</v>
      </c>
      <c r="U533" s="2">
        <v>-64052.84</v>
      </c>
      <c r="V533" s="2">
        <v>-39683.22</v>
      </c>
      <c r="W533" s="2">
        <v>-28911.82</v>
      </c>
    </row>
    <row r="534" spans="1:23" ht="15.75" customHeight="1">
      <c r="A534">
        <v>528</v>
      </c>
      <c r="B534" s="1">
        <v>45840</v>
      </c>
      <c r="C534" t="s">
        <v>58</v>
      </c>
      <c r="D534">
        <v>3</v>
      </c>
      <c r="E534" t="s">
        <v>49</v>
      </c>
      <c r="F534">
        <v>7</v>
      </c>
      <c r="G534" t="s">
        <v>43</v>
      </c>
      <c r="H534" t="s">
        <v>26</v>
      </c>
      <c r="I534" t="s">
        <v>38</v>
      </c>
      <c r="J534" t="s">
        <v>39</v>
      </c>
      <c r="K534" s="2">
        <v>177768.11</v>
      </c>
      <c r="L534" s="2">
        <v>125161.39</v>
      </c>
      <c r="M534" s="2">
        <v>52606.720000000001</v>
      </c>
      <c r="N534" s="2">
        <v>6387.22</v>
      </c>
      <c r="O534" s="2">
        <v>46219.5</v>
      </c>
      <c r="P534" s="3">
        <v>26</v>
      </c>
      <c r="Q534" s="2">
        <v>4093501.27</v>
      </c>
      <c r="R534" s="2">
        <v>1198624.8799999999</v>
      </c>
      <c r="S534" s="2">
        <v>2894876.39</v>
      </c>
      <c r="T534" s="2">
        <v>78675.44</v>
      </c>
      <c r="U534" s="2">
        <v>21019.61</v>
      </c>
      <c r="V534" s="2">
        <v>-1716.66</v>
      </c>
      <c r="W534" s="2">
        <v>97978.39</v>
      </c>
    </row>
    <row r="535" spans="1:23" ht="15.75" customHeight="1">
      <c r="A535">
        <v>359</v>
      </c>
      <c r="B535" s="1">
        <v>45845</v>
      </c>
      <c r="C535" t="s">
        <v>58</v>
      </c>
      <c r="D535">
        <v>3</v>
      </c>
      <c r="E535" t="s">
        <v>49</v>
      </c>
      <c r="F535">
        <v>7</v>
      </c>
      <c r="G535" t="s">
        <v>43</v>
      </c>
      <c r="H535" t="s">
        <v>30</v>
      </c>
      <c r="I535" t="s">
        <v>31</v>
      </c>
      <c r="J535" t="s">
        <v>28</v>
      </c>
      <c r="K535" s="2">
        <v>60649.03</v>
      </c>
      <c r="L535" s="2">
        <v>36521.78</v>
      </c>
      <c r="M535" s="2">
        <v>24127.25</v>
      </c>
      <c r="N535" s="2">
        <v>2916.75</v>
      </c>
      <c r="O535" s="2">
        <v>21210.5</v>
      </c>
      <c r="P535" s="3">
        <v>34.97</v>
      </c>
      <c r="Q535" s="2">
        <v>3525727.29</v>
      </c>
      <c r="R535" s="2">
        <v>2046423.34</v>
      </c>
      <c r="S535" s="2">
        <v>1479303.95</v>
      </c>
      <c r="T535" s="2">
        <v>45057.87</v>
      </c>
      <c r="U535" s="2">
        <v>12435.04</v>
      </c>
      <c r="V535" s="2">
        <v>-300.77999999999997</v>
      </c>
      <c r="W535" s="2">
        <v>57192.13</v>
      </c>
    </row>
    <row r="536" spans="1:23" ht="15.75" customHeight="1">
      <c r="A536">
        <v>258</v>
      </c>
      <c r="B536" s="1">
        <v>45845</v>
      </c>
      <c r="C536" t="s">
        <v>58</v>
      </c>
      <c r="D536">
        <v>3</v>
      </c>
      <c r="E536" t="s">
        <v>49</v>
      </c>
      <c r="F536">
        <v>7</v>
      </c>
      <c r="G536" t="s">
        <v>33</v>
      </c>
      <c r="H536" t="s">
        <v>26</v>
      </c>
      <c r="I536" t="s">
        <v>27</v>
      </c>
      <c r="J536" t="s">
        <v>28</v>
      </c>
      <c r="K536" s="2">
        <v>155044.59</v>
      </c>
      <c r="L536" s="2">
        <v>70425.08</v>
      </c>
      <c r="M536" s="2">
        <v>84619.51</v>
      </c>
      <c r="N536" s="2">
        <v>16892.5</v>
      </c>
      <c r="O536" s="2">
        <v>67727.009999999995</v>
      </c>
      <c r="P536" s="3">
        <v>43.68</v>
      </c>
      <c r="Q536" s="2">
        <v>4866156.99</v>
      </c>
      <c r="R536" s="2">
        <v>2068430.74</v>
      </c>
      <c r="S536" s="2">
        <v>2797726.25</v>
      </c>
      <c r="T536" s="2">
        <v>56524.88</v>
      </c>
      <c r="U536" s="2">
        <v>487.1</v>
      </c>
      <c r="V536" s="2">
        <v>41712.81</v>
      </c>
      <c r="W536" s="2">
        <v>98724.79</v>
      </c>
    </row>
    <row r="537" spans="1:23" ht="15.75" customHeight="1">
      <c r="A537">
        <v>569</v>
      </c>
      <c r="B537" s="1">
        <v>45858</v>
      </c>
      <c r="C537" t="s">
        <v>58</v>
      </c>
      <c r="D537">
        <v>3</v>
      </c>
      <c r="E537" t="s">
        <v>49</v>
      </c>
      <c r="F537">
        <v>7</v>
      </c>
      <c r="G537" t="s">
        <v>37</v>
      </c>
      <c r="H537" t="s">
        <v>30</v>
      </c>
      <c r="I537" t="s">
        <v>31</v>
      </c>
      <c r="J537" t="s">
        <v>39</v>
      </c>
      <c r="K537" s="2">
        <v>100787.39</v>
      </c>
      <c r="L537" s="2">
        <v>60547.11</v>
      </c>
      <c r="M537" s="2">
        <v>40240.28</v>
      </c>
      <c r="N537" s="2">
        <v>9968.19</v>
      </c>
      <c r="O537" s="2">
        <v>30272.09</v>
      </c>
      <c r="P537" s="3">
        <v>30.04</v>
      </c>
      <c r="Q537" s="2">
        <v>751668.58</v>
      </c>
      <c r="R537" s="2">
        <v>230666.45</v>
      </c>
      <c r="S537" s="2">
        <v>521002.13</v>
      </c>
      <c r="T537" s="2">
        <v>4498.16</v>
      </c>
      <c r="U537" s="2">
        <v>-7415.88</v>
      </c>
      <c r="V537" s="2">
        <v>-34549.07</v>
      </c>
      <c r="W537" s="2">
        <v>-37466.79</v>
      </c>
    </row>
    <row r="538" spans="1:23" ht="15.75" customHeight="1">
      <c r="A538">
        <v>272</v>
      </c>
      <c r="B538" s="1">
        <v>45858</v>
      </c>
      <c r="C538" t="s">
        <v>58</v>
      </c>
      <c r="D538">
        <v>3</v>
      </c>
      <c r="E538" t="s">
        <v>49</v>
      </c>
      <c r="F538">
        <v>7</v>
      </c>
      <c r="G538" t="s">
        <v>29</v>
      </c>
      <c r="H538" t="s">
        <v>36</v>
      </c>
      <c r="I538" t="s">
        <v>35</v>
      </c>
      <c r="J538" t="s">
        <v>37</v>
      </c>
      <c r="K538" s="2">
        <v>80175.509999999995</v>
      </c>
      <c r="L538" s="2">
        <v>36548.080000000002</v>
      </c>
      <c r="M538" s="2">
        <v>43627.43</v>
      </c>
      <c r="N538" s="2">
        <v>4062.35</v>
      </c>
      <c r="O538" s="2">
        <v>39565.08</v>
      </c>
      <c r="P538" s="3">
        <v>49.35</v>
      </c>
      <c r="Q538" s="2">
        <v>4600257.28</v>
      </c>
      <c r="R538" s="2">
        <v>1803044.77</v>
      </c>
      <c r="S538" s="2">
        <v>2797212.51</v>
      </c>
      <c r="T538" s="2">
        <v>43546.8</v>
      </c>
      <c r="U538" s="2">
        <v>-48465.56</v>
      </c>
      <c r="V538" s="2">
        <v>19709.580000000002</v>
      </c>
      <c r="W538" s="2">
        <v>14790.82</v>
      </c>
    </row>
    <row r="539" spans="1:23" ht="15.75" customHeight="1">
      <c r="A539">
        <v>467</v>
      </c>
      <c r="B539" s="1">
        <v>45859</v>
      </c>
      <c r="C539" t="s">
        <v>58</v>
      </c>
      <c r="D539">
        <v>3</v>
      </c>
      <c r="E539" t="s">
        <v>49</v>
      </c>
      <c r="F539">
        <v>7</v>
      </c>
      <c r="G539" t="s">
        <v>25</v>
      </c>
      <c r="H539" t="s">
        <v>36</v>
      </c>
      <c r="I539" t="s">
        <v>35</v>
      </c>
      <c r="J539" t="s">
        <v>29</v>
      </c>
      <c r="K539" s="2">
        <v>74195.27</v>
      </c>
      <c r="L539" s="2">
        <v>39436.129999999997</v>
      </c>
      <c r="M539" s="2">
        <v>34759.14</v>
      </c>
      <c r="N539" s="2">
        <v>5825.7</v>
      </c>
      <c r="O539" s="2">
        <v>28933.439999999999</v>
      </c>
      <c r="P539" s="3">
        <v>39</v>
      </c>
      <c r="Q539" s="2">
        <v>960651.88</v>
      </c>
      <c r="R539" s="2">
        <v>529038.98</v>
      </c>
      <c r="S539" s="2">
        <v>431612.9</v>
      </c>
      <c r="T539" s="2">
        <v>71432.12</v>
      </c>
      <c r="U539" s="2">
        <v>4343.5200000000004</v>
      </c>
      <c r="V539" s="2">
        <v>13282.7</v>
      </c>
      <c r="W539" s="2">
        <v>89058.34</v>
      </c>
    </row>
    <row r="540" spans="1:23" ht="15.75" customHeight="1">
      <c r="A540">
        <v>216</v>
      </c>
      <c r="B540" s="1">
        <v>45860</v>
      </c>
      <c r="C540" t="s">
        <v>58</v>
      </c>
      <c r="D540">
        <v>3</v>
      </c>
      <c r="E540" t="s">
        <v>49</v>
      </c>
      <c r="F540">
        <v>7</v>
      </c>
      <c r="G540" t="s">
        <v>29</v>
      </c>
      <c r="H540" t="s">
        <v>36</v>
      </c>
      <c r="I540" t="s">
        <v>35</v>
      </c>
      <c r="J540" t="s">
        <v>39</v>
      </c>
      <c r="K540" s="2">
        <v>122973.92</v>
      </c>
      <c r="L540" s="2">
        <v>81593.820000000007</v>
      </c>
      <c r="M540" s="2">
        <v>41380.1</v>
      </c>
      <c r="N540" s="2">
        <v>8218.86</v>
      </c>
      <c r="O540" s="2">
        <v>33161.24</v>
      </c>
      <c r="P540" s="3">
        <v>26.97</v>
      </c>
      <c r="Q540" s="2">
        <v>527399.37</v>
      </c>
      <c r="R540" s="2">
        <v>153144.37</v>
      </c>
      <c r="S540" s="2">
        <v>374255</v>
      </c>
      <c r="T540" s="2">
        <v>72676.78</v>
      </c>
      <c r="U540" s="2">
        <v>-1825.14</v>
      </c>
      <c r="V540" s="2">
        <v>-28706.84</v>
      </c>
      <c r="W540" s="2">
        <v>42144.800000000003</v>
      </c>
    </row>
    <row r="541" spans="1:23" ht="15.75" customHeight="1">
      <c r="A541">
        <v>317</v>
      </c>
      <c r="B541" s="1">
        <v>45860</v>
      </c>
      <c r="C541" t="s">
        <v>58</v>
      </c>
      <c r="D541">
        <v>3</v>
      </c>
      <c r="E541" t="s">
        <v>49</v>
      </c>
      <c r="F541">
        <v>7</v>
      </c>
      <c r="G541" t="s">
        <v>25</v>
      </c>
      <c r="H541" t="s">
        <v>26</v>
      </c>
      <c r="I541" t="s">
        <v>35</v>
      </c>
      <c r="J541" t="s">
        <v>29</v>
      </c>
      <c r="K541" s="2">
        <v>44101.05</v>
      </c>
      <c r="L541" s="2">
        <v>31243.67</v>
      </c>
      <c r="M541" s="2">
        <v>12857.38</v>
      </c>
      <c r="N541" s="2">
        <v>1938.18</v>
      </c>
      <c r="O541" s="2">
        <v>10919.2</v>
      </c>
      <c r="P541" s="3">
        <v>24.76</v>
      </c>
      <c r="Q541" s="2">
        <v>2812328.31</v>
      </c>
      <c r="R541" s="2">
        <v>1719230.31</v>
      </c>
      <c r="S541" s="2">
        <v>1093098</v>
      </c>
      <c r="T541" s="2">
        <v>52109.9</v>
      </c>
      <c r="U541" s="2">
        <v>11785.63</v>
      </c>
      <c r="V541" s="2">
        <v>11014.84</v>
      </c>
      <c r="W541" s="2">
        <v>74910.37</v>
      </c>
    </row>
    <row r="542" spans="1:23" ht="15.75" customHeight="1">
      <c r="A542">
        <v>562</v>
      </c>
      <c r="B542" s="1">
        <v>45861</v>
      </c>
      <c r="C542" t="s">
        <v>58</v>
      </c>
      <c r="D542">
        <v>3</v>
      </c>
      <c r="E542" t="s">
        <v>49</v>
      </c>
      <c r="F542">
        <v>7</v>
      </c>
      <c r="G542" t="s">
        <v>37</v>
      </c>
      <c r="H542" t="s">
        <v>30</v>
      </c>
      <c r="I542" t="s">
        <v>27</v>
      </c>
      <c r="J542" t="s">
        <v>29</v>
      </c>
      <c r="K542" s="2">
        <v>56771.78</v>
      </c>
      <c r="L542" s="2">
        <v>41133.33</v>
      </c>
      <c r="M542" s="2">
        <v>15638.45</v>
      </c>
      <c r="N542" s="2">
        <v>1390.06</v>
      </c>
      <c r="O542" s="2">
        <v>14248.39</v>
      </c>
      <c r="P542" s="3">
        <v>25.1</v>
      </c>
      <c r="Q542" s="2">
        <v>4336441.9000000004</v>
      </c>
      <c r="R542" s="2">
        <v>1427897.32</v>
      </c>
      <c r="S542" s="2">
        <v>2908544.58</v>
      </c>
      <c r="T542" s="2">
        <v>54200.23</v>
      </c>
      <c r="U542" s="2">
        <v>-34747.08</v>
      </c>
      <c r="V542" s="2">
        <v>32268.36</v>
      </c>
      <c r="W542" s="2">
        <v>51721.51</v>
      </c>
    </row>
    <row r="543" spans="1:23" ht="15.75" customHeight="1">
      <c r="A543">
        <v>340</v>
      </c>
      <c r="B543" s="1">
        <v>45872</v>
      </c>
      <c r="C543" t="s">
        <v>58</v>
      </c>
      <c r="D543">
        <v>3</v>
      </c>
      <c r="E543" t="s">
        <v>50</v>
      </c>
      <c r="F543">
        <v>8</v>
      </c>
      <c r="G543" t="s">
        <v>40</v>
      </c>
      <c r="H543" t="s">
        <v>26</v>
      </c>
      <c r="I543" t="s">
        <v>38</v>
      </c>
      <c r="J543" t="s">
        <v>41</v>
      </c>
      <c r="K543" s="2">
        <v>111383.14</v>
      </c>
      <c r="L543" s="2">
        <v>56552.92</v>
      </c>
      <c r="M543" s="2">
        <v>54830.22</v>
      </c>
      <c r="N543" s="2">
        <v>12165.75</v>
      </c>
      <c r="O543" s="2">
        <v>42664.47</v>
      </c>
      <c r="P543" s="3">
        <v>38.299999999999997</v>
      </c>
      <c r="Q543" s="2">
        <v>2112505.96</v>
      </c>
      <c r="R543" s="2">
        <v>1299522.78</v>
      </c>
      <c r="S543" s="2">
        <v>812983.18</v>
      </c>
      <c r="T543" s="2">
        <v>57919.519999999997</v>
      </c>
      <c r="U543" s="2">
        <v>-51732.76</v>
      </c>
      <c r="V543" s="2">
        <v>-26040.11</v>
      </c>
      <c r="W543" s="2">
        <v>-19853.349999999999</v>
      </c>
    </row>
    <row r="544" spans="1:23" ht="15.75" customHeight="1">
      <c r="A544">
        <v>193</v>
      </c>
      <c r="B544" s="1">
        <v>45875</v>
      </c>
      <c r="C544" t="s">
        <v>58</v>
      </c>
      <c r="D544">
        <v>3</v>
      </c>
      <c r="E544" t="s">
        <v>50</v>
      </c>
      <c r="F544">
        <v>8</v>
      </c>
      <c r="G544" t="s">
        <v>25</v>
      </c>
      <c r="H544" t="s">
        <v>34</v>
      </c>
      <c r="I544" t="s">
        <v>27</v>
      </c>
      <c r="J544" t="s">
        <v>32</v>
      </c>
      <c r="K544" s="2">
        <v>31952.3</v>
      </c>
      <c r="L544" s="2">
        <v>19705.650000000001</v>
      </c>
      <c r="M544" s="2">
        <v>12246.65</v>
      </c>
      <c r="N544" s="2">
        <v>2914.73</v>
      </c>
      <c r="O544" s="2">
        <v>9331.92</v>
      </c>
      <c r="P544" s="3">
        <v>29.21</v>
      </c>
      <c r="Q544" s="2">
        <v>1243417.73</v>
      </c>
      <c r="R544" s="2">
        <v>504764.11</v>
      </c>
      <c r="S544" s="2">
        <v>738653.62</v>
      </c>
      <c r="T544" s="2">
        <v>37720.74</v>
      </c>
      <c r="U544" s="2">
        <v>18225.86</v>
      </c>
      <c r="V544" s="2">
        <v>27094.3</v>
      </c>
      <c r="W544" s="2">
        <v>83040.899999999994</v>
      </c>
    </row>
    <row r="545" spans="1:23" ht="15.75" customHeight="1">
      <c r="A545">
        <v>586</v>
      </c>
      <c r="B545" s="1">
        <v>45876</v>
      </c>
      <c r="C545" t="s">
        <v>58</v>
      </c>
      <c r="D545">
        <v>3</v>
      </c>
      <c r="E545" t="s">
        <v>50</v>
      </c>
      <c r="F545">
        <v>8</v>
      </c>
      <c r="G545" t="s">
        <v>33</v>
      </c>
      <c r="H545" t="s">
        <v>36</v>
      </c>
      <c r="I545" t="s">
        <v>27</v>
      </c>
      <c r="J545" t="s">
        <v>28</v>
      </c>
      <c r="K545" s="2">
        <v>128046.79</v>
      </c>
      <c r="L545" s="2">
        <v>62606.080000000002</v>
      </c>
      <c r="M545" s="2">
        <v>65440.71</v>
      </c>
      <c r="N545" s="2">
        <v>12711.42</v>
      </c>
      <c r="O545" s="2">
        <v>52729.29</v>
      </c>
      <c r="P545" s="3">
        <v>41.18</v>
      </c>
      <c r="Q545" s="2">
        <v>3359425.64</v>
      </c>
      <c r="R545" s="2">
        <v>1922618</v>
      </c>
      <c r="S545" s="2">
        <v>1436807.64</v>
      </c>
      <c r="T545" s="2">
        <v>88749.18</v>
      </c>
      <c r="U545" s="2">
        <v>16820.310000000001</v>
      </c>
      <c r="V545" s="2">
        <v>1413.15</v>
      </c>
      <c r="W545" s="2">
        <v>106982.64</v>
      </c>
    </row>
    <row r="546" spans="1:23" ht="15.75" customHeight="1">
      <c r="A546">
        <v>348</v>
      </c>
      <c r="B546" s="1">
        <v>45879</v>
      </c>
      <c r="C546" t="s">
        <v>58</v>
      </c>
      <c r="D546">
        <v>3</v>
      </c>
      <c r="E546" t="s">
        <v>50</v>
      </c>
      <c r="F546">
        <v>8</v>
      </c>
      <c r="G546" t="s">
        <v>43</v>
      </c>
      <c r="H546" t="s">
        <v>30</v>
      </c>
      <c r="I546" t="s">
        <v>35</v>
      </c>
      <c r="J546" t="s">
        <v>32</v>
      </c>
      <c r="K546" s="2">
        <v>104684.79</v>
      </c>
      <c r="L546" s="2">
        <v>59056.17</v>
      </c>
      <c r="M546" s="2">
        <v>45628.62</v>
      </c>
      <c r="N546" s="2">
        <v>8095.3</v>
      </c>
      <c r="O546" s="2">
        <v>37533.32</v>
      </c>
      <c r="P546" s="3">
        <v>35.85</v>
      </c>
      <c r="Q546" s="2">
        <v>1963450.38</v>
      </c>
      <c r="R546" s="2">
        <v>521704.01</v>
      </c>
      <c r="S546" s="2">
        <v>1441746.37</v>
      </c>
      <c r="T546" s="2">
        <v>29293.21</v>
      </c>
      <c r="U546" s="2">
        <v>-69362.100000000006</v>
      </c>
      <c r="V546" s="2">
        <v>57835.48</v>
      </c>
      <c r="W546" s="2">
        <v>17766.59</v>
      </c>
    </row>
    <row r="547" spans="1:23" ht="15.75" customHeight="1">
      <c r="A547">
        <v>547</v>
      </c>
      <c r="B547" s="1">
        <v>45879</v>
      </c>
      <c r="C547" t="s">
        <v>58</v>
      </c>
      <c r="D547">
        <v>3</v>
      </c>
      <c r="E547" t="s">
        <v>50</v>
      </c>
      <c r="F547">
        <v>8</v>
      </c>
      <c r="G547" t="s">
        <v>29</v>
      </c>
      <c r="H547" t="s">
        <v>26</v>
      </c>
      <c r="I547" t="s">
        <v>38</v>
      </c>
      <c r="J547" t="s">
        <v>29</v>
      </c>
      <c r="K547" s="2">
        <v>28045.98</v>
      </c>
      <c r="L547" s="2">
        <v>21746.16</v>
      </c>
      <c r="M547" s="2">
        <v>6299.82</v>
      </c>
      <c r="N547" s="2">
        <v>1538.12</v>
      </c>
      <c r="O547" s="2">
        <v>4761.7</v>
      </c>
      <c r="P547" s="3">
        <v>16.98</v>
      </c>
      <c r="Q547" s="2">
        <v>2037066.74</v>
      </c>
      <c r="R547" s="2">
        <v>785091.13</v>
      </c>
      <c r="S547" s="2">
        <v>1251975.6100000001</v>
      </c>
      <c r="T547" s="2">
        <v>-24670.95</v>
      </c>
      <c r="U547" s="2">
        <v>-1974.93</v>
      </c>
      <c r="V547" s="2">
        <v>42543.99</v>
      </c>
      <c r="W547" s="2">
        <v>15898.11</v>
      </c>
    </row>
    <row r="548" spans="1:23" ht="15.75" customHeight="1">
      <c r="A548">
        <v>21</v>
      </c>
      <c r="B548" s="1">
        <v>45882</v>
      </c>
      <c r="C548" t="s">
        <v>58</v>
      </c>
      <c r="D548">
        <v>3</v>
      </c>
      <c r="E548" t="s">
        <v>50</v>
      </c>
      <c r="F548">
        <v>8</v>
      </c>
      <c r="G548" t="s">
        <v>37</v>
      </c>
      <c r="H548" t="s">
        <v>30</v>
      </c>
      <c r="I548" t="s">
        <v>31</v>
      </c>
      <c r="J548" t="s">
        <v>44</v>
      </c>
      <c r="K548" s="2">
        <v>57120.29</v>
      </c>
      <c r="L548" s="2">
        <v>44264.89</v>
      </c>
      <c r="M548" s="2">
        <v>12855.4</v>
      </c>
      <c r="N548" s="2">
        <v>2682.79</v>
      </c>
      <c r="O548" s="2">
        <v>10172.61</v>
      </c>
      <c r="P548" s="3">
        <v>17.809999999999999</v>
      </c>
      <c r="Q548" s="2">
        <v>711034.11</v>
      </c>
      <c r="R548" s="2">
        <v>254172.65</v>
      </c>
      <c r="S548" s="2">
        <v>456861.46</v>
      </c>
      <c r="T548" s="2">
        <v>-18052.61</v>
      </c>
      <c r="U548" s="2">
        <v>-20183.48</v>
      </c>
      <c r="V548" s="2">
        <v>7621.07</v>
      </c>
      <c r="W548" s="2">
        <v>-30615.02</v>
      </c>
    </row>
    <row r="549" spans="1:23" ht="15.75" customHeight="1">
      <c r="A549">
        <v>465</v>
      </c>
      <c r="B549" s="1">
        <v>45883</v>
      </c>
      <c r="C549" t="s">
        <v>58</v>
      </c>
      <c r="D549">
        <v>3</v>
      </c>
      <c r="E549" t="s">
        <v>50</v>
      </c>
      <c r="F549">
        <v>8</v>
      </c>
      <c r="G549" t="s">
        <v>29</v>
      </c>
      <c r="H549" t="s">
        <v>26</v>
      </c>
      <c r="I549" t="s">
        <v>31</v>
      </c>
      <c r="J549" t="s">
        <v>28</v>
      </c>
      <c r="K549" s="2">
        <v>87657.45</v>
      </c>
      <c r="L549" s="2">
        <v>71660.679999999993</v>
      </c>
      <c r="M549" s="2">
        <v>15996.77</v>
      </c>
      <c r="N549" s="2">
        <v>3641.74</v>
      </c>
      <c r="O549" s="2">
        <v>12355.03</v>
      </c>
      <c r="P549" s="3">
        <v>14.09</v>
      </c>
      <c r="Q549" s="2">
        <v>3040879.36</v>
      </c>
      <c r="R549" s="2">
        <v>1388620.71</v>
      </c>
      <c r="S549" s="2">
        <v>1652258.65</v>
      </c>
      <c r="T549" s="2">
        <v>5123.0600000000004</v>
      </c>
      <c r="U549" s="2">
        <v>-18279.060000000001</v>
      </c>
      <c r="V549" s="2">
        <v>44818.15</v>
      </c>
      <c r="W549" s="2">
        <v>31662.15</v>
      </c>
    </row>
    <row r="550" spans="1:23" ht="15.75" customHeight="1">
      <c r="A550">
        <v>19</v>
      </c>
      <c r="B550" s="1">
        <v>45884</v>
      </c>
      <c r="C550" t="s">
        <v>58</v>
      </c>
      <c r="D550">
        <v>3</v>
      </c>
      <c r="E550" t="s">
        <v>50</v>
      </c>
      <c r="F550">
        <v>8</v>
      </c>
      <c r="G550" t="s">
        <v>43</v>
      </c>
      <c r="H550" t="s">
        <v>26</v>
      </c>
      <c r="I550" t="s">
        <v>27</v>
      </c>
      <c r="J550" t="s">
        <v>37</v>
      </c>
      <c r="K550" s="2">
        <v>85913.36</v>
      </c>
      <c r="L550" s="2">
        <v>65018.44</v>
      </c>
      <c r="M550" s="2">
        <v>20894.919999999998</v>
      </c>
      <c r="N550" s="2">
        <v>3693.05</v>
      </c>
      <c r="O550" s="2">
        <v>17201.87</v>
      </c>
      <c r="P550" s="3">
        <v>20.02</v>
      </c>
      <c r="Q550" s="2">
        <v>785803.23</v>
      </c>
      <c r="R550" s="2">
        <v>208024.7</v>
      </c>
      <c r="S550" s="2">
        <v>577778.53</v>
      </c>
      <c r="T550" s="2">
        <v>-2089.96</v>
      </c>
      <c r="U550" s="2">
        <v>-68632.800000000003</v>
      </c>
      <c r="V550" s="2">
        <v>-32464.09</v>
      </c>
      <c r="W550" s="2">
        <v>-103186.85</v>
      </c>
    </row>
    <row r="551" spans="1:23" ht="15.75" customHeight="1">
      <c r="A551">
        <v>505</v>
      </c>
      <c r="B551" s="1">
        <v>45885</v>
      </c>
      <c r="C551" t="s">
        <v>58</v>
      </c>
      <c r="D551">
        <v>3</v>
      </c>
      <c r="E551" t="s">
        <v>50</v>
      </c>
      <c r="F551">
        <v>8</v>
      </c>
      <c r="G551" t="s">
        <v>43</v>
      </c>
      <c r="H551" t="s">
        <v>26</v>
      </c>
      <c r="I551" t="s">
        <v>31</v>
      </c>
      <c r="J551" t="s">
        <v>29</v>
      </c>
      <c r="K551" s="2">
        <v>41463.14</v>
      </c>
      <c r="L551" s="2">
        <v>30561.43</v>
      </c>
      <c r="M551" s="2">
        <v>10901.71</v>
      </c>
      <c r="N551" s="2">
        <v>2369.52</v>
      </c>
      <c r="O551" s="2">
        <v>8532.19</v>
      </c>
      <c r="P551" s="3">
        <v>20.58</v>
      </c>
      <c r="Q551" s="2">
        <v>3954940.78</v>
      </c>
      <c r="R551" s="2">
        <v>1169026.53</v>
      </c>
      <c r="S551" s="2">
        <v>2785914.25</v>
      </c>
      <c r="T551" s="2">
        <v>30044.83</v>
      </c>
      <c r="U551" s="2">
        <v>13432.48</v>
      </c>
      <c r="V551" s="2">
        <v>17735.34</v>
      </c>
      <c r="W551" s="2">
        <v>61212.65</v>
      </c>
    </row>
    <row r="552" spans="1:23" ht="15.75" customHeight="1">
      <c r="A552">
        <v>546</v>
      </c>
      <c r="B552" s="1">
        <v>45890</v>
      </c>
      <c r="C552" t="s">
        <v>58</v>
      </c>
      <c r="D552">
        <v>3</v>
      </c>
      <c r="E552" t="s">
        <v>50</v>
      </c>
      <c r="F552">
        <v>8</v>
      </c>
      <c r="G552" t="s">
        <v>43</v>
      </c>
      <c r="H552" t="s">
        <v>30</v>
      </c>
      <c r="I552" t="s">
        <v>31</v>
      </c>
      <c r="J552" t="s">
        <v>32</v>
      </c>
      <c r="K552" s="2">
        <v>28823.84</v>
      </c>
      <c r="L552" s="2">
        <v>17310.23</v>
      </c>
      <c r="M552" s="2">
        <v>11513.61</v>
      </c>
      <c r="N552" s="2">
        <v>1353.07</v>
      </c>
      <c r="O552" s="2">
        <v>10160.540000000001</v>
      </c>
      <c r="P552" s="3">
        <v>35.25</v>
      </c>
      <c r="Q552" s="2">
        <v>2899887.63</v>
      </c>
      <c r="R552" s="2">
        <v>1880279.77</v>
      </c>
      <c r="S552" s="2">
        <v>1019607.86</v>
      </c>
      <c r="T552" s="2">
        <v>44203.43</v>
      </c>
      <c r="U552" s="2">
        <v>14564.21</v>
      </c>
      <c r="V552" s="2">
        <v>23526.5</v>
      </c>
      <c r="W552" s="2">
        <v>82294.14</v>
      </c>
    </row>
    <row r="553" spans="1:23" ht="15.75" customHeight="1">
      <c r="A553">
        <v>399</v>
      </c>
      <c r="B553" s="1">
        <v>45890</v>
      </c>
      <c r="C553" t="s">
        <v>58</v>
      </c>
      <c r="D553">
        <v>3</v>
      </c>
      <c r="E553" t="s">
        <v>50</v>
      </c>
      <c r="F553">
        <v>8</v>
      </c>
      <c r="G553" t="s">
        <v>29</v>
      </c>
      <c r="H553" t="s">
        <v>36</v>
      </c>
      <c r="I553" t="s">
        <v>31</v>
      </c>
      <c r="J553" t="s">
        <v>39</v>
      </c>
      <c r="K553" s="2">
        <v>42416.49</v>
      </c>
      <c r="L553" s="2">
        <v>24297.65</v>
      </c>
      <c r="M553" s="2">
        <v>18118.84</v>
      </c>
      <c r="N553" s="2">
        <v>3857.09</v>
      </c>
      <c r="O553" s="2">
        <v>14261.75</v>
      </c>
      <c r="P553" s="3">
        <v>33.619999999999997</v>
      </c>
      <c r="Q553" s="2">
        <v>2466731.85</v>
      </c>
      <c r="R553" s="2">
        <v>1236074.81</v>
      </c>
      <c r="S553" s="2">
        <v>1230657.04</v>
      </c>
      <c r="T553" s="2">
        <v>36058.39</v>
      </c>
      <c r="U553" s="2">
        <v>14375.5</v>
      </c>
      <c r="V553" s="2">
        <v>-7507.72</v>
      </c>
      <c r="W553" s="2">
        <v>42926.17</v>
      </c>
    </row>
    <row r="554" spans="1:23" ht="15.75" customHeight="1">
      <c r="A554">
        <v>277</v>
      </c>
      <c r="B554" s="1">
        <v>45892</v>
      </c>
      <c r="C554" t="s">
        <v>58</v>
      </c>
      <c r="D554">
        <v>3</v>
      </c>
      <c r="E554" t="s">
        <v>50</v>
      </c>
      <c r="F554">
        <v>8</v>
      </c>
      <c r="G554" t="s">
        <v>37</v>
      </c>
      <c r="H554" t="s">
        <v>26</v>
      </c>
      <c r="I554" t="s">
        <v>38</v>
      </c>
      <c r="J554" t="s">
        <v>44</v>
      </c>
      <c r="K554" s="2">
        <v>26781.33</v>
      </c>
      <c r="L554" s="2">
        <v>16102.21</v>
      </c>
      <c r="M554" s="2">
        <v>10679.12</v>
      </c>
      <c r="N554" s="2">
        <v>2531.85</v>
      </c>
      <c r="O554" s="2">
        <v>8147.27</v>
      </c>
      <c r="P554" s="3">
        <v>30.42</v>
      </c>
      <c r="Q554" s="2">
        <v>1003462.77</v>
      </c>
      <c r="R554" s="2">
        <v>458150.75</v>
      </c>
      <c r="S554" s="2">
        <v>545312.02</v>
      </c>
      <c r="T554" s="2">
        <v>41069.06</v>
      </c>
      <c r="U554" s="2">
        <v>24253.13</v>
      </c>
      <c r="V554" s="2">
        <v>34677.660000000003</v>
      </c>
      <c r="W554" s="2">
        <v>99999.85</v>
      </c>
    </row>
    <row r="555" spans="1:23" ht="15.75" customHeight="1">
      <c r="A555">
        <v>243</v>
      </c>
      <c r="B555" s="1">
        <v>45892</v>
      </c>
      <c r="C555" t="s">
        <v>58</v>
      </c>
      <c r="D555">
        <v>3</v>
      </c>
      <c r="E555" t="s">
        <v>50</v>
      </c>
      <c r="F555">
        <v>8</v>
      </c>
      <c r="G555" t="s">
        <v>40</v>
      </c>
      <c r="H555" t="s">
        <v>34</v>
      </c>
      <c r="I555" t="s">
        <v>38</v>
      </c>
      <c r="J555" t="s">
        <v>28</v>
      </c>
      <c r="K555" s="2">
        <v>104775.96</v>
      </c>
      <c r="L555" s="2">
        <v>78483.679999999993</v>
      </c>
      <c r="M555" s="2">
        <v>26292.28</v>
      </c>
      <c r="N555" s="2">
        <v>3237.88</v>
      </c>
      <c r="O555" s="2">
        <v>23054.400000000001</v>
      </c>
      <c r="P555" s="3">
        <v>22</v>
      </c>
      <c r="Q555" s="2">
        <v>1606133.48</v>
      </c>
      <c r="R555" s="2">
        <v>660290.72</v>
      </c>
      <c r="S555" s="2">
        <v>945842.76</v>
      </c>
      <c r="T555" s="2">
        <v>64625.82</v>
      </c>
      <c r="U555" s="2">
        <v>-69955.72</v>
      </c>
      <c r="V555" s="2">
        <v>50138.31</v>
      </c>
      <c r="W555" s="2">
        <v>44808.41</v>
      </c>
    </row>
    <row r="556" spans="1:23" ht="15.75" customHeight="1">
      <c r="A556">
        <v>356</v>
      </c>
      <c r="B556" s="1">
        <v>45893</v>
      </c>
      <c r="C556" t="s">
        <v>58</v>
      </c>
      <c r="D556">
        <v>3</v>
      </c>
      <c r="E556" t="s">
        <v>50</v>
      </c>
      <c r="F556">
        <v>8</v>
      </c>
      <c r="G556" t="s">
        <v>43</v>
      </c>
      <c r="H556" t="s">
        <v>30</v>
      </c>
      <c r="I556" t="s">
        <v>31</v>
      </c>
      <c r="J556" t="s">
        <v>44</v>
      </c>
      <c r="K556" s="2">
        <v>159956.71</v>
      </c>
      <c r="L556" s="2">
        <v>76923.86</v>
      </c>
      <c r="M556" s="2">
        <v>83032.850000000006</v>
      </c>
      <c r="N556" s="2">
        <v>9622.7900000000009</v>
      </c>
      <c r="O556" s="2">
        <v>73410.06</v>
      </c>
      <c r="P556" s="3">
        <v>45.89</v>
      </c>
      <c r="Q556" s="2">
        <v>3886107.52</v>
      </c>
      <c r="R556" s="2">
        <v>1051260.24</v>
      </c>
      <c r="S556" s="2">
        <v>2834847.28</v>
      </c>
      <c r="T556" s="2">
        <v>82812.89</v>
      </c>
      <c r="U556" s="2">
        <v>-25789.3</v>
      </c>
      <c r="V556" s="2">
        <v>-6559.88</v>
      </c>
      <c r="W556" s="2">
        <v>50463.71</v>
      </c>
    </row>
    <row r="557" spans="1:23" ht="15.75" customHeight="1">
      <c r="A557">
        <v>136</v>
      </c>
      <c r="B557" s="1">
        <v>45895</v>
      </c>
      <c r="C557" t="s">
        <v>58</v>
      </c>
      <c r="D557">
        <v>3</v>
      </c>
      <c r="E557" t="s">
        <v>50</v>
      </c>
      <c r="F557">
        <v>8</v>
      </c>
      <c r="G557" t="s">
        <v>43</v>
      </c>
      <c r="H557" t="s">
        <v>34</v>
      </c>
      <c r="I557" t="s">
        <v>31</v>
      </c>
      <c r="J557" t="s">
        <v>37</v>
      </c>
      <c r="K557" s="2">
        <v>52553.79</v>
      </c>
      <c r="L557" s="2">
        <v>37097.65</v>
      </c>
      <c r="M557" s="2">
        <v>15456.14</v>
      </c>
      <c r="N557" s="2">
        <v>2860.45</v>
      </c>
      <c r="O557" s="2">
        <v>12595.69</v>
      </c>
      <c r="P557" s="3">
        <v>23.97</v>
      </c>
      <c r="Q557" s="2">
        <v>3349353.32</v>
      </c>
      <c r="R557" s="2">
        <v>1143997.8899999999</v>
      </c>
      <c r="S557" s="2">
        <v>2205355.4300000002</v>
      </c>
      <c r="T557" s="2">
        <v>1207.33</v>
      </c>
      <c r="U557" s="2">
        <v>-47919.74</v>
      </c>
      <c r="V557" s="2">
        <v>-22624.74</v>
      </c>
      <c r="W557" s="2">
        <v>-69337.149999999994</v>
      </c>
    </row>
    <row r="558" spans="1:23" ht="15.75" customHeight="1">
      <c r="A558">
        <v>237</v>
      </c>
      <c r="B558" s="1">
        <v>45897</v>
      </c>
      <c r="C558" t="s">
        <v>58</v>
      </c>
      <c r="D558">
        <v>3</v>
      </c>
      <c r="E558" t="s">
        <v>50</v>
      </c>
      <c r="F558">
        <v>8</v>
      </c>
      <c r="G558" t="s">
        <v>29</v>
      </c>
      <c r="H558" t="s">
        <v>36</v>
      </c>
      <c r="I558" t="s">
        <v>31</v>
      </c>
      <c r="J558" t="s">
        <v>39</v>
      </c>
      <c r="K558" s="2">
        <v>173479.79</v>
      </c>
      <c r="L558" s="2">
        <v>112063.45</v>
      </c>
      <c r="M558" s="2">
        <v>61416.34</v>
      </c>
      <c r="N558" s="2">
        <v>7438.86</v>
      </c>
      <c r="O558" s="2">
        <v>53977.48</v>
      </c>
      <c r="P558" s="3">
        <v>31.11</v>
      </c>
      <c r="Q558" s="2">
        <v>2752716.07</v>
      </c>
      <c r="R558" s="2">
        <v>1436499.74</v>
      </c>
      <c r="S558" s="2">
        <v>1316216.33</v>
      </c>
      <c r="T558" s="2">
        <v>30076.62</v>
      </c>
      <c r="U558" s="2">
        <v>-42529.62</v>
      </c>
      <c r="V558" s="2">
        <v>40696.550000000003</v>
      </c>
      <c r="W558" s="2">
        <v>28243.55</v>
      </c>
    </row>
    <row r="559" spans="1:23" ht="15.75" customHeight="1">
      <c r="A559">
        <v>378</v>
      </c>
      <c r="B559" s="1">
        <v>45901</v>
      </c>
      <c r="C559" t="s">
        <v>58</v>
      </c>
      <c r="D559">
        <v>3</v>
      </c>
      <c r="E559" t="s">
        <v>51</v>
      </c>
      <c r="F559">
        <v>9</v>
      </c>
      <c r="G559" t="s">
        <v>37</v>
      </c>
      <c r="H559" t="s">
        <v>34</v>
      </c>
      <c r="I559" t="s">
        <v>31</v>
      </c>
      <c r="J559" t="s">
        <v>37</v>
      </c>
      <c r="K559" s="2">
        <v>152110.46</v>
      </c>
      <c r="L559" s="2">
        <v>70789.81</v>
      </c>
      <c r="M559" s="2">
        <v>81320.649999999994</v>
      </c>
      <c r="N559" s="2">
        <v>13392.05</v>
      </c>
      <c r="O559" s="2">
        <v>67928.600000000006</v>
      </c>
      <c r="P559" s="3">
        <v>44.66</v>
      </c>
      <c r="Q559" s="2">
        <v>3601896.85</v>
      </c>
      <c r="R559" s="2">
        <v>1263994.83</v>
      </c>
      <c r="S559" s="2">
        <v>2337902.02</v>
      </c>
      <c r="T559" s="2">
        <v>62550.27</v>
      </c>
      <c r="U559" s="2">
        <v>-8636.2099999999991</v>
      </c>
      <c r="V559" s="2">
        <v>49793.53</v>
      </c>
      <c r="W559" s="2">
        <v>103707.59</v>
      </c>
    </row>
    <row r="560" spans="1:23" ht="15.75" customHeight="1">
      <c r="A560">
        <v>478</v>
      </c>
      <c r="B560" s="1">
        <v>45902</v>
      </c>
      <c r="C560" t="s">
        <v>58</v>
      </c>
      <c r="D560">
        <v>3</v>
      </c>
      <c r="E560" t="s">
        <v>51</v>
      </c>
      <c r="F560">
        <v>9</v>
      </c>
      <c r="G560" t="s">
        <v>37</v>
      </c>
      <c r="H560" t="s">
        <v>34</v>
      </c>
      <c r="I560" t="s">
        <v>35</v>
      </c>
      <c r="J560" t="s">
        <v>39</v>
      </c>
      <c r="K560" s="2">
        <v>141301.26999999999</v>
      </c>
      <c r="L560" s="2">
        <v>79830.23</v>
      </c>
      <c r="M560" s="2">
        <v>61471.040000000001</v>
      </c>
      <c r="N560" s="2">
        <v>10294.14</v>
      </c>
      <c r="O560" s="2">
        <v>51176.9</v>
      </c>
      <c r="P560" s="3">
        <v>36.22</v>
      </c>
      <c r="Q560" s="2">
        <v>4355759.07</v>
      </c>
      <c r="R560" s="2">
        <v>1902383.17</v>
      </c>
      <c r="S560" s="2">
        <v>2453375.9</v>
      </c>
      <c r="T560" s="2">
        <v>49954.49</v>
      </c>
      <c r="U560" s="2">
        <v>-16384.46</v>
      </c>
      <c r="V560" s="2">
        <v>31736.28</v>
      </c>
      <c r="W560" s="2">
        <v>65306.31</v>
      </c>
    </row>
    <row r="561" spans="1:23" ht="15.75" customHeight="1">
      <c r="A561">
        <v>43</v>
      </c>
      <c r="B561" s="1">
        <v>45902</v>
      </c>
      <c r="C561" t="s">
        <v>58</v>
      </c>
      <c r="D561">
        <v>3</v>
      </c>
      <c r="E561" t="s">
        <v>51</v>
      </c>
      <c r="F561">
        <v>9</v>
      </c>
      <c r="G561" t="s">
        <v>25</v>
      </c>
      <c r="H561" t="s">
        <v>36</v>
      </c>
      <c r="I561" t="s">
        <v>38</v>
      </c>
      <c r="J561" t="s">
        <v>37</v>
      </c>
      <c r="K561" s="2">
        <v>108154.61</v>
      </c>
      <c r="L561" s="2">
        <v>63828.959999999999</v>
      </c>
      <c r="M561" s="2">
        <v>44325.65</v>
      </c>
      <c r="N561" s="2">
        <v>6989.71</v>
      </c>
      <c r="O561" s="2">
        <v>37335.94</v>
      </c>
      <c r="P561" s="3">
        <v>34.520000000000003</v>
      </c>
      <c r="Q561" s="2">
        <v>3217810.42</v>
      </c>
      <c r="R561" s="2">
        <v>1450960.08</v>
      </c>
      <c r="S561" s="2">
        <v>1766850.34</v>
      </c>
      <c r="T561" s="2">
        <v>50524.79</v>
      </c>
      <c r="U561" s="2">
        <v>-21364.25</v>
      </c>
      <c r="V561" s="2">
        <v>895.52</v>
      </c>
      <c r="W561" s="2">
        <v>30056.06</v>
      </c>
    </row>
    <row r="562" spans="1:23" ht="15.75" customHeight="1">
      <c r="A562">
        <v>275</v>
      </c>
      <c r="B562" s="1">
        <v>45904</v>
      </c>
      <c r="C562" t="s">
        <v>58</v>
      </c>
      <c r="D562">
        <v>3</v>
      </c>
      <c r="E562" t="s">
        <v>51</v>
      </c>
      <c r="F562">
        <v>9</v>
      </c>
      <c r="G562" t="s">
        <v>29</v>
      </c>
      <c r="H562" t="s">
        <v>36</v>
      </c>
      <c r="I562" t="s">
        <v>38</v>
      </c>
      <c r="J562" t="s">
        <v>39</v>
      </c>
      <c r="K562" s="2">
        <v>88757.62</v>
      </c>
      <c r="L562" s="2">
        <v>68634.27</v>
      </c>
      <c r="M562" s="2">
        <v>20123.349999999999</v>
      </c>
      <c r="N562" s="2">
        <v>3792.29</v>
      </c>
      <c r="O562" s="2">
        <v>16331.06</v>
      </c>
      <c r="P562" s="3">
        <v>18.399999999999999</v>
      </c>
      <c r="Q562" s="2">
        <v>4251394.0999999996</v>
      </c>
      <c r="R562" s="2">
        <v>1912161.04</v>
      </c>
      <c r="S562" s="2">
        <v>2339233.06</v>
      </c>
      <c r="T562" s="2">
        <v>29133.1</v>
      </c>
      <c r="U562" s="2">
        <v>-55561.24</v>
      </c>
      <c r="V562" s="2">
        <v>38398.74</v>
      </c>
      <c r="W562" s="2">
        <v>11970.6</v>
      </c>
    </row>
    <row r="563" spans="1:23" ht="15.75" customHeight="1">
      <c r="A563">
        <v>180</v>
      </c>
      <c r="B563" s="1">
        <v>45911</v>
      </c>
      <c r="C563" t="s">
        <v>58</v>
      </c>
      <c r="D563">
        <v>3</v>
      </c>
      <c r="E563" t="s">
        <v>51</v>
      </c>
      <c r="F563">
        <v>9</v>
      </c>
      <c r="G563" t="s">
        <v>33</v>
      </c>
      <c r="H563" t="s">
        <v>30</v>
      </c>
      <c r="I563" t="s">
        <v>35</v>
      </c>
      <c r="J563" t="s">
        <v>41</v>
      </c>
      <c r="K563" s="2">
        <v>58407.13</v>
      </c>
      <c r="L563" s="2">
        <v>34071.199999999997</v>
      </c>
      <c r="M563" s="2">
        <v>24335.93</v>
      </c>
      <c r="N563" s="2">
        <v>2230.29</v>
      </c>
      <c r="O563" s="2">
        <v>22105.64</v>
      </c>
      <c r="P563" s="3">
        <v>37.85</v>
      </c>
      <c r="Q563" s="2">
        <v>3934198.81</v>
      </c>
      <c r="R563" s="2">
        <v>1626093.03</v>
      </c>
      <c r="S563" s="2">
        <v>2308105.7799999998</v>
      </c>
      <c r="T563" s="2">
        <v>52845.54</v>
      </c>
      <c r="U563" s="2">
        <v>20360.78</v>
      </c>
      <c r="V563" s="2">
        <v>-16723.689999999999</v>
      </c>
      <c r="W563" s="2">
        <v>56482.63</v>
      </c>
    </row>
    <row r="564" spans="1:23" ht="15.75" customHeight="1">
      <c r="A564">
        <v>247</v>
      </c>
      <c r="B564" s="1">
        <v>45912</v>
      </c>
      <c r="C564" t="s">
        <v>58</v>
      </c>
      <c r="D564">
        <v>3</v>
      </c>
      <c r="E564" t="s">
        <v>51</v>
      </c>
      <c r="F564">
        <v>9</v>
      </c>
      <c r="G564" t="s">
        <v>43</v>
      </c>
      <c r="H564" t="s">
        <v>30</v>
      </c>
      <c r="I564" t="s">
        <v>31</v>
      </c>
      <c r="J564" t="s">
        <v>44</v>
      </c>
      <c r="K564" s="2">
        <v>105088.25</v>
      </c>
      <c r="L564" s="2">
        <v>76792.95</v>
      </c>
      <c r="M564" s="2">
        <v>28295.3</v>
      </c>
      <c r="N564" s="2">
        <v>3622.49</v>
      </c>
      <c r="O564" s="2">
        <v>24672.81</v>
      </c>
      <c r="P564" s="3">
        <v>23.48</v>
      </c>
      <c r="Q564" s="2">
        <v>2088726.76</v>
      </c>
      <c r="R564" s="2">
        <v>1269189.17</v>
      </c>
      <c r="S564" s="2">
        <v>819537.59</v>
      </c>
      <c r="T564" s="2">
        <v>70389.33</v>
      </c>
      <c r="U564" s="2">
        <v>19255.82</v>
      </c>
      <c r="V564" s="2">
        <v>1944.8</v>
      </c>
      <c r="W564" s="2">
        <v>91589.95</v>
      </c>
    </row>
    <row r="565" spans="1:23" ht="15.75" customHeight="1">
      <c r="A565">
        <v>515</v>
      </c>
      <c r="B565" s="1">
        <v>45912</v>
      </c>
      <c r="C565" t="s">
        <v>58</v>
      </c>
      <c r="D565">
        <v>3</v>
      </c>
      <c r="E565" t="s">
        <v>51</v>
      </c>
      <c r="F565">
        <v>9</v>
      </c>
      <c r="G565" t="s">
        <v>43</v>
      </c>
      <c r="H565" t="s">
        <v>34</v>
      </c>
      <c r="I565" t="s">
        <v>31</v>
      </c>
      <c r="J565" t="s">
        <v>39</v>
      </c>
      <c r="K565" s="2">
        <v>160953.67000000001</v>
      </c>
      <c r="L565" s="2">
        <v>86911.21</v>
      </c>
      <c r="M565" s="2">
        <v>74042.460000000006</v>
      </c>
      <c r="N565" s="2">
        <v>12853.55</v>
      </c>
      <c r="O565" s="2">
        <v>61188.91</v>
      </c>
      <c r="P565" s="3">
        <v>38.020000000000003</v>
      </c>
      <c r="Q565" s="2">
        <v>1366219.18</v>
      </c>
      <c r="R565" s="2">
        <v>397230.28</v>
      </c>
      <c r="S565" s="2">
        <v>968988.9</v>
      </c>
      <c r="T565" s="2">
        <v>104078.55</v>
      </c>
      <c r="U565" s="2">
        <v>12050.75</v>
      </c>
      <c r="V565" s="2">
        <v>36003.49</v>
      </c>
      <c r="W565" s="2">
        <v>152132.79</v>
      </c>
    </row>
    <row r="566" spans="1:23" ht="15.75" customHeight="1">
      <c r="A566">
        <v>506</v>
      </c>
      <c r="B566" s="1">
        <v>45918</v>
      </c>
      <c r="C566" t="s">
        <v>58</v>
      </c>
      <c r="D566">
        <v>3</v>
      </c>
      <c r="E566" t="s">
        <v>51</v>
      </c>
      <c r="F566">
        <v>9</v>
      </c>
      <c r="G566" t="s">
        <v>43</v>
      </c>
      <c r="H566" t="s">
        <v>36</v>
      </c>
      <c r="I566" t="s">
        <v>38</v>
      </c>
      <c r="J566" t="s">
        <v>32</v>
      </c>
      <c r="K566" s="2">
        <v>106949.63</v>
      </c>
      <c r="L566" s="2">
        <v>49487.67</v>
      </c>
      <c r="M566" s="2">
        <v>57461.96</v>
      </c>
      <c r="N566" s="2">
        <v>10838.69</v>
      </c>
      <c r="O566" s="2">
        <v>46623.27</v>
      </c>
      <c r="P566" s="3">
        <v>43.59</v>
      </c>
      <c r="Q566" s="2">
        <v>866512.46</v>
      </c>
      <c r="R566" s="2">
        <v>367406.34</v>
      </c>
      <c r="S566" s="2">
        <v>499106.12</v>
      </c>
      <c r="T566" s="2">
        <v>40035.68</v>
      </c>
      <c r="U566" s="2">
        <v>-15457.2</v>
      </c>
      <c r="V566" s="2">
        <v>-26658.37</v>
      </c>
      <c r="W566" s="2">
        <v>-2079.89</v>
      </c>
    </row>
    <row r="567" spans="1:23" ht="15.75" customHeight="1">
      <c r="A567">
        <v>199</v>
      </c>
      <c r="B567" s="1">
        <v>45919</v>
      </c>
      <c r="C567" t="s">
        <v>58</v>
      </c>
      <c r="D567">
        <v>3</v>
      </c>
      <c r="E567" t="s">
        <v>51</v>
      </c>
      <c r="F567">
        <v>9</v>
      </c>
      <c r="G567" t="s">
        <v>37</v>
      </c>
      <c r="H567" t="s">
        <v>34</v>
      </c>
      <c r="I567" t="s">
        <v>35</v>
      </c>
      <c r="J567" t="s">
        <v>29</v>
      </c>
      <c r="K567" s="2">
        <v>67684.08</v>
      </c>
      <c r="L567" s="2">
        <v>38128.879999999997</v>
      </c>
      <c r="M567" s="2">
        <v>29555.200000000001</v>
      </c>
      <c r="N567" s="2">
        <v>6328.58</v>
      </c>
      <c r="O567" s="2">
        <v>23226.62</v>
      </c>
      <c r="P567" s="3">
        <v>34.32</v>
      </c>
      <c r="Q567" s="2">
        <v>2508887.8199999998</v>
      </c>
      <c r="R567" s="2">
        <v>1428440.64</v>
      </c>
      <c r="S567" s="2">
        <v>1080447.18</v>
      </c>
      <c r="T567" s="2">
        <v>59020.41</v>
      </c>
      <c r="U567" s="2">
        <v>15756.23</v>
      </c>
      <c r="V567" s="2">
        <v>51663.519999999997</v>
      </c>
      <c r="W567" s="2">
        <v>126440.16</v>
      </c>
    </row>
    <row r="568" spans="1:23" ht="15.75" customHeight="1">
      <c r="A568">
        <v>7</v>
      </c>
      <c r="B568" s="1">
        <v>45921</v>
      </c>
      <c r="C568" t="s">
        <v>58</v>
      </c>
      <c r="D568">
        <v>3</v>
      </c>
      <c r="E568" t="s">
        <v>51</v>
      </c>
      <c r="F568">
        <v>9</v>
      </c>
      <c r="G568" t="s">
        <v>33</v>
      </c>
      <c r="H568" t="s">
        <v>30</v>
      </c>
      <c r="I568" t="s">
        <v>35</v>
      </c>
      <c r="J568" t="s">
        <v>32</v>
      </c>
      <c r="K568" s="2">
        <v>40984.199999999997</v>
      </c>
      <c r="L568" s="2">
        <v>32129.34</v>
      </c>
      <c r="M568" s="2">
        <v>8854.86</v>
      </c>
      <c r="N568" s="2">
        <v>1468.96</v>
      </c>
      <c r="O568" s="2">
        <v>7385.9</v>
      </c>
      <c r="P568" s="3">
        <v>18.02</v>
      </c>
      <c r="Q568" s="2">
        <v>4219058.5999999996</v>
      </c>
      <c r="R568" s="2">
        <v>1594887.86</v>
      </c>
      <c r="S568" s="2">
        <v>2624170.7400000002</v>
      </c>
      <c r="T568" s="2">
        <v>49027.76</v>
      </c>
      <c r="U568" s="2">
        <v>-31079.83</v>
      </c>
      <c r="V568" s="2">
        <v>-38916.230000000003</v>
      </c>
      <c r="W568" s="2">
        <v>-20968.3</v>
      </c>
    </row>
    <row r="569" spans="1:23" ht="15.75" customHeight="1">
      <c r="A569">
        <v>108</v>
      </c>
      <c r="B569" s="1">
        <v>45922</v>
      </c>
      <c r="C569" t="s">
        <v>58</v>
      </c>
      <c r="D569">
        <v>3</v>
      </c>
      <c r="E569" t="s">
        <v>51</v>
      </c>
      <c r="F569">
        <v>9</v>
      </c>
      <c r="G569" t="s">
        <v>25</v>
      </c>
      <c r="H569" t="s">
        <v>34</v>
      </c>
      <c r="I569" t="s">
        <v>31</v>
      </c>
      <c r="J569" t="s">
        <v>41</v>
      </c>
      <c r="K569" s="2">
        <v>46645.94</v>
      </c>
      <c r="L569" s="2">
        <v>21507.99</v>
      </c>
      <c r="M569" s="2">
        <v>25137.95</v>
      </c>
      <c r="N569" s="2">
        <v>3326.96</v>
      </c>
      <c r="O569" s="2">
        <v>21810.99</v>
      </c>
      <c r="P569" s="3">
        <v>46.76</v>
      </c>
      <c r="Q569" s="2">
        <v>3671063.43</v>
      </c>
      <c r="R569" s="2">
        <v>1214172.5900000001</v>
      </c>
      <c r="S569" s="2">
        <v>2456890.84</v>
      </c>
      <c r="T569" s="2">
        <v>45685.58</v>
      </c>
      <c r="U569" s="2">
        <v>26991.200000000001</v>
      </c>
      <c r="V569" s="2">
        <v>-30609.93</v>
      </c>
      <c r="W569" s="2">
        <v>42066.85</v>
      </c>
    </row>
    <row r="570" spans="1:23" ht="15.75" customHeight="1">
      <c r="A570">
        <v>373</v>
      </c>
      <c r="B570" s="1">
        <v>45926</v>
      </c>
      <c r="C570" t="s">
        <v>58</v>
      </c>
      <c r="D570">
        <v>3</v>
      </c>
      <c r="E570" t="s">
        <v>51</v>
      </c>
      <c r="F570">
        <v>9</v>
      </c>
      <c r="G570" t="s">
        <v>40</v>
      </c>
      <c r="H570" t="s">
        <v>34</v>
      </c>
      <c r="I570" t="s">
        <v>38</v>
      </c>
      <c r="J570" t="s">
        <v>41</v>
      </c>
      <c r="K570" s="2">
        <v>84526.61</v>
      </c>
      <c r="L570" s="2">
        <v>58874.400000000001</v>
      </c>
      <c r="M570" s="2">
        <v>25652.21</v>
      </c>
      <c r="N570" s="2">
        <v>6364.37</v>
      </c>
      <c r="O570" s="2">
        <v>19287.84</v>
      </c>
      <c r="P570" s="3">
        <v>22.82</v>
      </c>
      <c r="Q570" s="2">
        <v>1515774.76</v>
      </c>
      <c r="R570" s="2">
        <v>615343.77</v>
      </c>
      <c r="S570" s="2">
        <v>900430.99</v>
      </c>
      <c r="T570" s="2">
        <v>27691.63</v>
      </c>
      <c r="U570" s="2">
        <v>-56198.45</v>
      </c>
      <c r="V570" s="2">
        <v>-31896.14</v>
      </c>
      <c r="W570" s="2">
        <v>-60402.96</v>
      </c>
    </row>
    <row r="571" spans="1:23" ht="15.75" customHeight="1">
      <c r="A571">
        <v>278</v>
      </c>
      <c r="B571" s="1">
        <v>45930</v>
      </c>
      <c r="C571" t="s">
        <v>58</v>
      </c>
      <c r="D571">
        <v>3</v>
      </c>
      <c r="E571" t="s">
        <v>51</v>
      </c>
      <c r="F571">
        <v>9</v>
      </c>
      <c r="G571" t="s">
        <v>29</v>
      </c>
      <c r="H571" t="s">
        <v>34</v>
      </c>
      <c r="I571" t="s">
        <v>35</v>
      </c>
      <c r="J571" t="s">
        <v>32</v>
      </c>
      <c r="K571" s="2">
        <v>94161.19</v>
      </c>
      <c r="L571" s="2">
        <v>70447.87</v>
      </c>
      <c r="M571" s="2">
        <v>23713.32</v>
      </c>
      <c r="N571" s="2">
        <v>1929.17</v>
      </c>
      <c r="O571" s="2">
        <v>21784.15</v>
      </c>
      <c r="P571" s="3">
        <v>23.13</v>
      </c>
      <c r="Q571" s="2">
        <v>4660524.75</v>
      </c>
      <c r="R571" s="2">
        <v>1991547.57</v>
      </c>
      <c r="S571" s="2">
        <v>2668977.1800000002</v>
      </c>
      <c r="T571" s="2">
        <v>36054.57</v>
      </c>
      <c r="U571" s="2">
        <v>-44511.78</v>
      </c>
      <c r="V571" s="2">
        <v>34253.08</v>
      </c>
      <c r="W571" s="2">
        <v>25795.87</v>
      </c>
    </row>
    <row r="572" spans="1:23" ht="15.75" customHeight="1">
      <c r="A572">
        <v>314</v>
      </c>
      <c r="B572" s="1">
        <v>45931</v>
      </c>
      <c r="C572" t="s">
        <v>58</v>
      </c>
      <c r="D572">
        <v>4</v>
      </c>
      <c r="E572" t="s">
        <v>52</v>
      </c>
      <c r="F572">
        <v>10</v>
      </c>
      <c r="G572" t="s">
        <v>29</v>
      </c>
      <c r="H572" t="s">
        <v>26</v>
      </c>
      <c r="I572" t="s">
        <v>38</v>
      </c>
      <c r="J572" t="s">
        <v>29</v>
      </c>
      <c r="K572" s="2">
        <v>145986.18</v>
      </c>
      <c r="L572" s="2">
        <v>82093.990000000005</v>
      </c>
      <c r="M572" s="2">
        <v>63892.19</v>
      </c>
      <c r="N572" s="2">
        <v>8496.85</v>
      </c>
      <c r="O572" s="2">
        <v>55395.34</v>
      </c>
      <c r="P572" s="3">
        <v>37.950000000000003</v>
      </c>
      <c r="Q572" s="2">
        <v>514134.08</v>
      </c>
      <c r="R572" s="2">
        <v>164367.31</v>
      </c>
      <c r="S572" s="2">
        <v>349766.77</v>
      </c>
      <c r="T572" s="2">
        <v>95427.79</v>
      </c>
      <c r="U572" s="2">
        <v>-25825.35</v>
      </c>
      <c r="V572" s="2">
        <v>58423.45</v>
      </c>
      <c r="W572" s="2">
        <v>128025.89</v>
      </c>
    </row>
    <row r="573" spans="1:23" ht="15.75" customHeight="1">
      <c r="A573">
        <v>376</v>
      </c>
      <c r="B573" s="1">
        <v>45940</v>
      </c>
      <c r="C573" t="s">
        <v>58</v>
      </c>
      <c r="D573">
        <v>4</v>
      </c>
      <c r="E573" t="s">
        <v>52</v>
      </c>
      <c r="F573">
        <v>10</v>
      </c>
      <c r="G573" t="s">
        <v>43</v>
      </c>
      <c r="H573" t="s">
        <v>34</v>
      </c>
      <c r="I573" t="s">
        <v>31</v>
      </c>
      <c r="J573" t="s">
        <v>29</v>
      </c>
      <c r="K573" s="2">
        <v>39337.57</v>
      </c>
      <c r="L573" s="2">
        <v>29059.79</v>
      </c>
      <c r="M573" s="2">
        <v>10277.780000000001</v>
      </c>
      <c r="N573" s="2">
        <v>1999.33</v>
      </c>
      <c r="O573" s="2">
        <v>8278.4500000000007</v>
      </c>
      <c r="P573" s="3">
        <v>21.04</v>
      </c>
      <c r="Q573" s="2">
        <v>3953744.74</v>
      </c>
      <c r="R573" s="2">
        <v>1474793.91</v>
      </c>
      <c r="S573" s="2">
        <v>2478950.83</v>
      </c>
      <c r="T573" s="2">
        <v>17642.810000000001</v>
      </c>
      <c r="U573" s="2">
        <v>9650.85</v>
      </c>
      <c r="V573" s="2">
        <v>-16745.87</v>
      </c>
      <c r="W573" s="2">
        <v>10547.79</v>
      </c>
    </row>
    <row r="574" spans="1:23" ht="15.75" customHeight="1">
      <c r="A574">
        <v>110</v>
      </c>
      <c r="B574" s="1">
        <v>45945</v>
      </c>
      <c r="C574" t="s">
        <v>58</v>
      </c>
      <c r="D574">
        <v>4</v>
      </c>
      <c r="E574" t="s">
        <v>52</v>
      </c>
      <c r="F574">
        <v>10</v>
      </c>
      <c r="G574" t="s">
        <v>29</v>
      </c>
      <c r="H574" t="s">
        <v>34</v>
      </c>
      <c r="I574" t="s">
        <v>31</v>
      </c>
      <c r="J574" t="s">
        <v>37</v>
      </c>
      <c r="K574" s="2">
        <v>131876.65</v>
      </c>
      <c r="L574" s="2">
        <v>92354.53</v>
      </c>
      <c r="M574" s="2">
        <v>39522.120000000003</v>
      </c>
      <c r="N574" s="2">
        <v>4610.84</v>
      </c>
      <c r="O574" s="2">
        <v>34911.279999999999</v>
      </c>
      <c r="P574" s="3">
        <v>26.47</v>
      </c>
      <c r="Q574" s="2">
        <v>3464984.62</v>
      </c>
      <c r="R574" s="2">
        <v>1412139.8</v>
      </c>
      <c r="S574" s="2">
        <v>2052844.82</v>
      </c>
      <c r="T574" s="2">
        <v>57009.919999999998</v>
      </c>
      <c r="U574" s="2">
        <v>-59340.7</v>
      </c>
      <c r="V574" s="2">
        <v>25784.53</v>
      </c>
      <c r="W574" s="2">
        <v>23453.75</v>
      </c>
    </row>
    <row r="575" spans="1:23" ht="15.75" customHeight="1">
      <c r="A575">
        <v>105</v>
      </c>
      <c r="B575" s="1">
        <v>45947</v>
      </c>
      <c r="C575" t="s">
        <v>58</v>
      </c>
      <c r="D575">
        <v>4</v>
      </c>
      <c r="E575" t="s">
        <v>52</v>
      </c>
      <c r="F575">
        <v>10</v>
      </c>
      <c r="G575" t="s">
        <v>29</v>
      </c>
      <c r="H575" t="s">
        <v>36</v>
      </c>
      <c r="I575" t="s">
        <v>31</v>
      </c>
      <c r="J575" t="s">
        <v>32</v>
      </c>
      <c r="K575" s="2">
        <v>127889.7</v>
      </c>
      <c r="L575" s="2">
        <v>80009.509999999995</v>
      </c>
      <c r="M575" s="2">
        <v>47880.19</v>
      </c>
      <c r="N575" s="2">
        <v>10701.65</v>
      </c>
      <c r="O575" s="2">
        <v>37178.54</v>
      </c>
      <c r="P575" s="3">
        <v>29.07</v>
      </c>
      <c r="Q575" s="2">
        <v>4125515.69</v>
      </c>
      <c r="R575" s="2">
        <v>1997334.37</v>
      </c>
      <c r="S575" s="2">
        <v>2128181.3199999998</v>
      </c>
      <c r="T575" s="2">
        <v>76640.240000000005</v>
      </c>
      <c r="U575" s="2">
        <v>-49415.88</v>
      </c>
      <c r="V575" s="2">
        <v>-28808.04</v>
      </c>
      <c r="W575" s="2">
        <v>-1583.68</v>
      </c>
    </row>
    <row r="576" spans="1:23" ht="15.75" customHeight="1">
      <c r="A576">
        <v>155</v>
      </c>
      <c r="B576" s="1">
        <v>45948</v>
      </c>
      <c r="C576" t="s">
        <v>58</v>
      </c>
      <c r="D576">
        <v>4</v>
      </c>
      <c r="E576" t="s">
        <v>52</v>
      </c>
      <c r="F576">
        <v>10</v>
      </c>
      <c r="G576" t="s">
        <v>25</v>
      </c>
      <c r="H576" t="s">
        <v>34</v>
      </c>
      <c r="I576" t="s">
        <v>31</v>
      </c>
      <c r="J576" t="s">
        <v>37</v>
      </c>
      <c r="K576" s="2">
        <v>25498.83</v>
      </c>
      <c r="L576" s="2">
        <v>17320.03</v>
      </c>
      <c r="M576" s="2">
        <v>8178.8</v>
      </c>
      <c r="N576" s="2">
        <v>1148.58</v>
      </c>
      <c r="O576" s="2">
        <v>7030.22</v>
      </c>
      <c r="P576" s="3">
        <v>27.57</v>
      </c>
      <c r="Q576" s="2">
        <v>4073887.99</v>
      </c>
      <c r="R576" s="2">
        <v>1170005.3799999999</v>
      </c>
      <c r="S576" s="2">
        <v>2903882.61</v>
      </c>
      <c r="T576" s="2">
        <v>24086.400000000001</v>
      </c>
      <c r="U576" s="2">
        <v>-21902.71</v>
      </c>
      <c r="V576" s="2">
        <v>24232.55</v>
      </c>
      <c r="W576" s="2">
        <v>26416.240000000002</v>
      </c>
    </row>
    <row r="577" spans="1:23" ht="15.75" customHeight="1">
      <c r="A577">
        <v>188</v>
      </c>
      <c r="B577" s="1">
        <v>45954</v>
      </c>
      <c r="C577" t="s">
        <v>58</v>
      </c>
      <c r="D577">
        <v>4</v>
      </c>
      <c r="E577" t="s">
        <v>52</v>
      </c>
      <c r="F577">
        <v>10</v>
      </c>
      <c r="G577" t="s">
        <v>43</v>
      </c>
      <c r="H577" t="s">
        <v>34</v>
      </c>
      <c r="I577" t="s">
        <v>35</v>
      </c>
      <c r="J577" t="s">
        <v>39</v>
      </c>
      <c r="K577" s="2">
        <v>77826.429999999993</v>
      </c>
      <c r="L577" s="2">
        <v>39768.15</v>
      </c>
      <c r="M577" s="2">
        <v>38058.28</v>
      </c>
      <c r="N577" s="2">
        <v>4148.3100000000004</v>
      </c>
      <c r="O577" s="2">
        <v>33909.97</v>
      </c>
      <c r="P577" s="3">
        <v>43.57</v>
      </c>
      <c r="Q577" s="2">
        <v>4766487.4400000004</v>
      </c>
      <c r="R577" s="2">
        <v>2040525.86</v>
      </c>
      <c r="S577" s="2">
        <v>2725961.58</v>
      </c>
      <c r="T577" s="2">
        <v>67014.149999999994</v>
      </c>
      <c r="U577" s="2">
        <v>-6039.44</v>
      </c>
      <c r="V577" s="2">
        <v>27642.639999999999</v>
      </c>
      <c r="W577" s="2">
        <v>88617.35</v>
      </c>
    </row>
    <row r="578" spans="1:23" ht="15.75" customHeight="1">
      <c r="A578">
        <v>456</v>
      </c>
      <c r="B578" s="1">
        <v>45955</v>
      </c>
      <c r="C578" t="s">
        <v>58</v>
      </c>
      <c r="D578">
        <v>4</v>
      </c>
      <c r="E578" t="s">
        <v>52</v>
      </c>
      <c r="F578">
        <v>10</v>
      </c>
      <c r="G578" t="s">
        <v>40</v>
      </c>
      <c r="H578" t="s">
        <v>36</v>
      </c>
      <c r="I578" t="s">
        <v>35</v>
      </c>
      <c r="J578" t="s">
        <v>39</v>
      </c>
      <c r="K578" s="2">
        <v>69403.429999999993</v>
      </c>
      <c r="L578" s="2">
        <v>44535.39</v>
      </c>
      <c r="M578" s="2">
        <v>24868.04</v>
      </c>
      <c r="N578" s="2">
        <v>5151.7299999999996</v>
      </c>
      <c r="O578" s="2">
        <v>19716.310000000001</v>
      </c>
      <c r="P578" s="3">
        <v>28.41</v>
      </c>
      <c r="Q578" s="2">
        <v>4264389.01</v>
      </c>
      <c r="R578" s="2">
        <v>2267521.16</v>
      </c>
      <c r="S578" s="2">
        <v>1996867.85</v>
      </c>
      <c r="T578" s="2">
        <v>64004.06</v>
      </c>
      <c r="U578" s="2">
        <v>3874.35</v>
      </c>
      <c r="V578" s="2">
        <v>-9373.2099999999991</v>
      </c>
      <c r="W578" s="2">
        <v>58505.2</v>
      </c>
    </row>
    <row r="579" spans="1:23" ht="15.75" customHeight="1">
      <c r="A579">
        <v>268</v>
      </c>
      <c r="B579" s="1">
        <v>45956</v>
      </c>
      <c r="C579" t="s">
        <v>58</v>
      </c>
      <c r="D579">
        <v>4</v>
      </c>
      <c r="E579" t="s">
        <v>52</v>
      </c>
      <c r="F579">
        <v>10</v>
      </c>
      <c r="G579" t="s">
        <v>33</v>
      </c>
      <c r="H579" t="s">
        <v>26</v>
      </c>
      <c r="I579" t="s">
        <v>35</v>
      </c>
      <c r="J579" t="s">
        <v>32</v>
      </c>
      <c r="K579" s="2">
        <v>41415.4</v>
      </c>
      <c r="L579" s="2">
        <v>21009.48</v>
      </c>
      <c r="M579" s="2">
        <v>20405.919999999998</v>
      </c>
      <c r="N579" s="2">
        <v>4909.7700000000004</v>
      </c>
      <c r="O579" s="2">
        <v>15496.15</v>
      </c>
      <c r="P579" s="3">
        <v>37.42</v>
      </c>
      <c r="Q579" s="2">
        <v>3814408.53</v>
      </c>
      <c r="R579" s="2">
        <v>2300841.7999999998</v>
      </c>
      <c r="S579" s="2">
        <v>1513566.73</v>
      </c>
      <c r="T579" s="2">
        <v>1706.76</v>
      </c>
      <c r="U579" s="2">
        <v>-11241.41</v>
      </c>
      <c r="V579" s="2">
        <v>30113.96</v>
      </c>
      <c r="W579" s="2">
        <v>20579.310000000001</v>
      </c>
    </row>
    <row r="580" spans="1:23" ht="15.75" customHeight="1">
      <c r="A580">
        <v>162</v>
      </c>
      <c r="B580" s="1">
        <v>45959</v>
      </c>
      <c r="C580" t="s">
        <v>58</v>
      </c>
      <c r="D580">
        <v>4</v>
      </c>
      <c r="E580" t="s">
        <v>52</v>
      </c>
      <c r="F580">
        <v>10</v>
      </c>
      <c r="G580" t="s">
        <v>43</v>
      </c>
      <c r="H580" t="s">
        <v>30</v>
      </c>
      <c r="I580" t="s">
        <v>38</v>
      </c>
      <c r="J580" t="s">
        <v>37</v>
      </c>
      <c r="K580" s="2">
        <v>119584.9</v>
      </c>
      <c r="L580" s="2">
        <v>59802.14</v>
      </c>
      <c r="M580" s="2">
        <v>59782.76</v>
      </c>
      <c r="N580" s="2">
        <v>12418.9</v>
      </c>
      <c r="O580" s="2">
        <v>47363.86</v>
      </c>
      <c r="P580" s="3">
        <v>39.61</v>
      </c>
      <c r="Q580" s="2">
        <v>3456298.2</v>
      </c>
      <c r="R580" s="2">
        <v>2186612.71</v>
      </c>
      <c r="S580" s="2">
        <v>1269685.49</v>
      </c>
      <c r="T580" s="2">
        <v>22880.5</v>
      </c>
      <c r="U580" s="2">
        <v>-64294.53</v>
      </c>
      <c r="V580" s="2">
        <v>-11781.29</v>
      </c>
      <c r="W580" s="2">
        <v>-53195.32</v>
      </c>
    </row>
    <row r="581" spans="1:23" ht="15.75" customHeight="1">
      <c r="A581">
        <v>434</v>
      </c>
      <c r="B581" s="1">
        <v>45965</v>
      </c>
      <c r="C581" t="s">
        <v>58</v>
      </c>
      <c r="D581">
        <v>4</v>
      </c>
      <c r="E581" t="s">
        <v>53</v>
      </c>
      <c r="F581">
        <v>11</v>
      </c>
      <c r="G581" t="s">
        <v>37</v>
      </c>
      <c r="H581" t="s">
        <v>34</v>
      </c>
      <c r="I581" t="s">
        <v>38</v>
      </c>
      <c r="J581" t="s">
        <v>28</v>
      </c>
      <c r="K581" s="2">
        <v>155199.65</v>
      </c>
      <c r="L581" s="2">
        <v>89325.07</v>
      </c>
      <c r="M581" s="2">
        <v>65874.58</v>
      </c>
      <c r="N581" s="2">
        <v>13208.7</v>
      </c>
      <c r="O581" s="2">
        <v>52665.88</v>
      </c>
      <c r="P581" s="3">
        <v>33.93</v>
      </c>
      <c r="Q581" s="2">
        <v>4972027.8899999997</v>
      </c>
      <c r="R581" s="2">
        <v>1868744.46</v>
      </c>
      <c r="S581" s="2">
        <v>3103283.43</v>
      </c>
      <c r="T581" s="2">
        <v>76587.28</v>
      </c>
      <c r="U581" s="2">
        <v>14431.49</v>
      </c>
      <c r="V581" s="2">
        <v>51580.76</v>
      </c>
      <c r="W581" s="2">
        <v>142599.53</v>
      </c>
    </row>
    <row r="582" spans="1:23" ht="15.75" customHeight="1">
      <c r="A582">
        <v>229</v>
      </c>
      <c r="B582" s="1">
        <v>45965</v>
      </c>
      <c r="C582" t="s">
        <v>58</v>
      </c>
      <c r="D582">
        <v>4</v>
      </c>
      <c r="E582" t="s">
        <v>53</v>
      </c>
      <c r="F582">
        <v>11</v>
      </c>
      <c r="G582" t="s">
        <v>33</v>
      </c>
      <c r="H582" t="s">
        <v>34</v>
      </c>
      <c r="I582" t="s">
        <v>31</v>
      </c>
      <c r="J582" t="s">
        <v>44</v>
      </c>
      <c r="K582" s="2">
        <v>27277.48</v>
      </c>
      <c r="L582" s="2">
        <v>16100.94</v>
      </c>
      <c r="M582" s="2">
        <v>11176.54</v>
      </c>
      <c r="N582" s="2">
        <v>1535.08</v>
      </c>
      <c r="O582" s="2">
        <v>9641.4599999999991</v>
      </c>
      <c r="P582" s="3">
        <v>35.35</v>
      </c>
      <c r="Q582" s="2">
        <v>586974.34</v>
      </c>
      <c r="R582" s="2">
        <v>175944.01</v>
      </c>
      <c r="S582" s="2">
        <v>411030.33</v>
      </c>
      <c r="T582" s="2">
        <v>12732.87</v>
      </c>
      <c r="U582" s="2">
        <v>-20713.54</v>
      </c>
      <c r="V582" s="2">
        <v>428.97</v>
      </c>
      <c r="W582" s="2">
        <v>-7551.7</v>
      </c>
    </row>
    <row r="583" spans="1:23" ht="15.75" customHeight="1">
      <c r="A583">
        <v>112</v>
      </c>
      <c r="B583" s="1">
        <v>45969</v>
      </c>
      <c r="C583" t="s">
        <v>58</v>
      </c>
      <c r="D583">
        <v>4</v>
      </c>
      <c r="E583" t="s">
        <v>53</v>
      </c>
      <c r="F583">
        <v>11</v>
      </c>
      <c r="G583" t="s">
        <v>33</v>
      </c>
      <c r="H583" t="s">
        <v>34</v>
      </c>
      <c r="I583" t="s">
        <v>31</v>
      </c>
      <c r="J583" t="s">
        <v>37</v>
      </c>
      <c r="K583" s="2">
        <v>150216.12</v>
      </c>
      <c r="L583" s="2">
        <v>109965.03</v>
      </c>
      <c r="M583" s="2">
        <v>40251.089999999997</v>
      </c>
      <c r="N583" s="2">
        <v>8679.27</v>
      </c>
      <c r="O583" s="2">
        <v>31571.82</v>
      </c>
      <c r="P583" s="3">
        <v>21.02</v>
      </c>
      <c r="Q583" s="2">
        <v>2460124.92</v>
      </c>
      <c r="R583" s="2">
        <v>1419820.96</v>
      </c>
      <c r="S583" s="2">
        <v>1040303.96</v>
      </c>
      <c r="T583" s="2">
        <v>11188.54</v>
      </c>
      <c r="U583" s="2">
        <v>-15551.09</v>
      </c>
      <c r="V583" s="2">
        <v>-39424.129999999997</v>
      </c>
      <c r="W583" s="2">
        <v>-43786.68</v>
      </c>
    </row>
    <row r="584" spans="1:23" ht="15.75" customHeight="1">
      <c r="A584">
        <v>597</v>
      </c>
      <c r="B584" s="1">
        <v>45970</v>
      </c>
      <c r="C584" t="s">
        <v>58</v>
      </c>
      <c r="D584">
        <v>4</v>
      </c>
      <c r="E584" t="s">
        <v>53</v>
      </c>
      <c r="F584">
        <v>11</v>
      </c>
      <c r="G584" t="s">
        <v>43</v>
      </c>
      <c r="H584" t="s">
        <v>36</v>
      </c>
      <c r="I584" t="s">
        <v>27</v>
      </c>
      <c r="J584" t="s">
        <v>28</v>
      </c>
      <c r="K584" s="2">
        <v>30092.79</v>
      </c>
      <c r="L584" s="2">
        <v>19099.68</v>
      </c>
      <c r="M584" s="2">
        <v>10993.11</v>
      </c>
      <c r="N584" s="2">
        <v>2001.88</v>
      </c>
      <c r="O584" s="2">
        <v>8991.23</v>
      </c>
      <c r="P584" s="3">
        <v>29.88</v>
      </c>
      <c r="Q584" s="2">
        <v>781158.93</v>
      </c>
      <c r="R584" s="2">
        <v>420646.11</v>
      </c>
      <c r="S584" s="2">
        <v>360512.82</v>
      </c>
      <c r="T584" s="2">
        <v>-2577.16</v>
      </c>
      <c r="U584" s="2">
        <v>-1479.85</v>
      </c>
      <c r="V584" s="2">
        <v>58189.71</v>
      </c>
      <c r="W584" s="2">
        <v>54132.7</v>
      </c>
    </row>
    <row r="585" spans="1:23" ht="15.75" customHeight="1">
      <c r="A585">
        <v>566</v>
      </c>
      <c r="B585" s="1">
        <v>45971</v>
      </c>
      <c r="C585" t="s">
        <v>58</v>
      </c>
      <c r="D585">
        <v>4</v>
      </c>
      <c r="E585" t="s">
        <v>53</v>
      </c>
      <c r="F585">
        <v>11</v>
      </c>
      <c r="G585" t="s">
        <v>25</v>
      </c>
      <c r="H585" t="s">
        <v>30</v>
      </c>
      <c r="I585" t="s">
        <v>27</v>
      </c>
      <c r="J585" t="s">
        <v>29</v>
      </c>
      <c r="K585" s="2">
        <v>121186.31</v>
      </c>
      <c r="L585" s="2">
        <v>83156.78</v>
      </c>
      <c r="M585" s="2">
        <v>38029.53</v>
      </c>
      <c r="N585" s="2">
        <v>7563.9</v>
      </c>
      <c r="O585" s="2">
        <v>30465.63</v>
      </c>
      <c r="P585" s="3">
        <v>25.14</v>
      </c>
      <c r="Q585" s="2">
        <v>1004052.71</v>
      </c>
      <c r="R585" s="2">
        <v>592176</v>
      </c>
      <c r="S585" s="2">
        <v>411876.71</v>
      </c>
      <c r="T585" s="2">
        <v>43093.4</v>
      </c>
      <c r="U585" s="2">
        <v>-22867.82</v>
      </c>
      <c r="V585" s="2">
        <v>58109.760000000002</v>
      </c>
      <c r="W585" s="2">
        <v>78335.34</v>
      </c>
    </row>
    <row r="586" spans="1:23" ht="15.75" customHeight="1">
      <c r="A586">
        <v>329</v>
      </c>
      <c r="B586" s="1">
        <v>45984</v>
      </c>
      <c r="C586" t="s">
        <v>58</v>
      </c>
      <c r="D586">
        <v>4</v>
      </c>
      <c r="E586" t="s">
        <v>53</v>
      </c>
      <c r="F586">
        <v>11</v>
      </c>
      <c r="G586" t="s">
        <v>37</v>
      </c>
      <c r="H586" t="s">
        <v>34</v>
      </c>
      <c r="I586" t="s">
        <v>27</v>
      </c>
      <c r="J586" t="s">
        <v>29</v>
      </c>
      <c r="K586" s="2">
        <v>26594.1</v>
      </c>
      <c r="L586" s="2">
        <v>19013.150000000001</v>
      </c>
      <c r="M586" s="2">
        <v>7580.95</v>
      </c>
      <c r="N586" s="2">
        <v>1516.66</v>
      </c>
      <c r="O586" s="2">
        <v>6064.29</v>
      </c>
      <c r="P586" s="3">
        <v>22.8</v>
      </c>
      <c r="Q586" s="2">
        <v>3302102.93</v>
      </c>
      <c r="R586" s="2">
        <v>2133302.2599999998</v>
      </c>
      <c r="S586" s="2">
        <v>1168800.67</v>
      </c>
      <c r="T586" s="2">
        <v>1014.64</v>
      </c>
      <c r="U586" s="2">
        <v>-36002.81</v>
      </c>
      <c r="V586" s="2">
        <v>-32106.06</v>
      </c>
      <c r="W586" s="2">
        <v>-67094.23</v>
      </c>
    </row>
    <row r="587" spans="1:23" ht="15.75" customHeight="1">
      <c r="A587">
        <v>166</v>
      </c>
      <c r="B587" s="1">
        <v>45989</v>
      </c>
      <c r="C587" t="s">
        <v>58</v>
      </c>
      <c r="D587">
        <v>4</v>
      </c>
      <c r="E587" t="s">
        <v>53</v>
      </c>
      <c r="F587">
        <v>11</v>
      </c>
      <c r="G587" t="s">
        <v>25</v>
      </c>
      <c r="H587" t="s">
        <v>26</v>
      </c>
      <c r="I587" t="s">
        <v>31</v>
      </c>
      <c r="J587" t="s">
        <v>44</v>
      </c>
      <c r="K587" s="2">
        <v>79173.490000000005</v>
      </c>
      <c r="L587" s="2">
        <v>38970.410000000003</v>
      </c>
      <c r="M587" s="2">
        <v>40203.08</v>
      </c>
      <c r="N587" s="2">
        <v>4249.95</v>
      </c>
      <c r="O587" s="2">
        <v>35953.129999999997</v>
      </c>
      <c r="P587" s="3">
        <v>45.41</v>
      </c>
      <c r="Q587" s="2">
        <v>1513926.18</v>
      </c>
      <c r="R587" s="2">
        <v>530459.54</v>
      </c>
      <c r="S587" s="2">
        <v>983466.64</v>
      </c>
      <c r="T587" s="2">
        <v>74002.41</v>
      </c>
      <c r="U587" s="2">
        <v>-13877.72</v>
      </c>
      <c r="V587" s="2">
        <v>12339.09</v>
      </c>
      <c r="W587" s="2">
        <v>72463.78</v>
      </c>
    </row>
    <row r="588" spans="1:23" ht="15.75" customHeight="1">
      <c r="A588">
        <v>304</v>
      </c>
      <c r="B588" s="1">
        <v>45991</v>
      </c>
      <c r="C588" t="s">
        <v>58</v>
      </c>
      <c r="D588">
        <v>4</v>
      </c>
      <c r="E588" t="s">
        <v>53</v>
      </c>
      <c r="F588">
        <v>11</v>
      </c>
      <c r="G588" t="s">
        <v>43</v>
      </c>
      <c r="H588" t="s">
        <v>26</v>
      </c>
      <c r="I588" t="s">
        <v>38</v>
      </c>
      <c r="J588" t="s">
        <v>32</v>
      </c>
      <c r="K588" s="2">
        <v>170689.43</v>
      </c>
      <c r="L588" s="2">
        <v>108640.65</v>
      </c>
      <c r="M588" s="2">
        <v>62048.78</v>
      </c>
      <c r="N588" s="2">
        <v>14976.35</v>
      </c>
      <c r="O588" s="2">
        <v>47072.43</v>
      </c>
      <c r="P588" s="3">
        <v>27.58</v>
      </c>
      <c r="Q588" s="2">
        <v>4247743.5599999996</v>
      </c>
      <c r="R588" s="2">
        <v>1677742.02</v>
      </c>
      <c r="S588" s="2">
        <v>2570001.54</v>
      </c>
      <c r="T588" s="2">
        <v>86163.74</v>
      </c>
      <c r="U588" s="2">
        <v>-58993.67</v>
      </c>
      <c r="V588" s="2">
        <v>52504.72</v>
      </c>
      <c r="W588" s="2">
        <v>79674.789999999994</v>
      </c>
    </row>
    <row r="589" spans="1:23" ht="15.75" customHeight="1">
      <c r="A589">
        <v>91</v>
      </c>
      <c r="B589" s="1">
        <v>45992</v>
      </c>
      <c r="C589" t="s">
        <v>58</v>
      </c>
      <c r="D589">
        <v>4</v>
      </c>
      <c r="E589" t="s">
        <v>54</v>
      </c>
      <c r="F589">
        <v>12</v>
      </c>
      <c r="G589" t="s">
        <v>40</v>
      </c>
      <c r="H589" t="s">
        <v>34</v>
      </c>
      <c r="I589" t="s">
        <v>38</v>
      </c>
      <c r="J589" t="s">
        <v>41</v>
      </c>
      <c r="K589" s="2">
        <v>116490.91</v>
      </c>
      <c r="L589" s="2">
        <v>71094.55</v>
      </c>
      <c r="M589" s="2">
        <v>45396.36</v>
      </c>
      <c r="N589" s="2">
        <v>11228.32</v>
      </c>
      <c r="O589" s="2">
        <v>34168.04</v>
      </c>
      <c r="P589" s="3">
        <v>29.33</v>
      </c>
      <c r="Q589" s="2">
        <v>1173112.8899999999</v>
      </c>
      <c r="R589" s="2">
        <v>511288.86</v>
      </c>
      <c r="S589" s="2">
        <v>661824.03</v>
      </c>
      <c r="T589" s="2">
        <v>58604.57</v>
      </c>
      <c r="U589" s="2">
        <v>-30445.49</v>
      </c>
      <c r="V589" s="2">
        <v>57469.99</v>
      </c>
      <c r="W589" s="2">
        <v>85629.07</v>
      </c>
    </row>
    <row r="590" spans="1:23" ht="15.75" customHeight="1">
      <c r="A590">
        <v>140</v>
      </c>
      <c r="B590" s="1">
        <v>45993</v>
      </c>
      <c r="C590" t="s">
        <v>58</v>
      </c>
      <c r="D590">
        <v>4</v>
      </c>
      <c r="E590" t="s">
        <v>54</v>
      </c>
      <c r="F590">
        <v>12</v>
      </c>
      <c r="G590" t="s">
        <v>33</v>
      </c>
      <c r="H590" t="s">
        <v>26</v>
      </c>
      <c r="I590" t="s">
        <v>35</v>
      </c>
      <c r="J590" t="s">
        <v>32</v>
      </c>
      <c r="K590" s="2">
        <v>159022.35999999999</v>
      </c>
      <c r="L590" s="2">
        <v>85885.89</v>
      </c>
      <c r="M590" s="2">
        <v>73136.47</v>
      </c>
      <c r="N590" s="2">
        <v>13953.77</v>
      </c>
      <c r="O590" s="2">
        <v>59182.7</v>
      </c>
      <c r="P590" s="3">
        <v>37.22</v>
      </c>
      <c r="Q590" s="2">
        <v>4148086.68</v>
      </c>
      <c r="R590" s="2">
        <v>2055926.67</v>
      </c>
      <c r="S590" s="2">
        <v>2092160.01</v>
      </c>
      <c r="T590" s="2">
        <v>97947.92</v>
      </c>
      <c r="U590" s="2">
        <v>-30760.63</v>
      </c>
      <c r="V590" s="2">
        <v>55622.22</v>
      </c>
      <c r="W590" s="2">
        <v>122809.51</v>
      </c>
    </row>
    <row r="591" spans="1:23" ht="15.75" customHeight="1">
      <c r="A591">
        <v>491</v>
      </c>
      <c r="B591" s="1">
        <v>45996</v>
      </c>
      <c r="C591" t="s">
        <v>58</v>
      </c>
      <c r="D591">
        <v>4</v>
      </c>
      <c r="E591" t="s">
        <v>54</v>
      </c>
      <c r="F591">
        <v>12</v>
      </c>
      <c r="G591" t="s">
        <v>33</v>
      </c>
      <c r="H591" t="s">
        <v>26</v>
      </c>
      <c r="I591" t="s">
        <v>27</v>
      </c>
      <c r="J591" t="s">
        <v>41</v>
      </c>
      <c r="K591" s="2">
        <v>78778.64</v>
      </c>
      <c r="L591" s="2">
        <v>48036.74</v>
      </c>
      <c r="M591" s="2">
        <v>30741.9</v>
      </c>
      <c r="N591" s="2">
        <v>6545.03</v>
      </c>
      <c r="O591" s="2">
        <v>24196.87</v>
      </c>
      <c r="P591" s="3">
        <v>30.72</v>
      </c>
      <c r="Q591" s="2">
        <v>2678778.64</v>
      </c>
      <c r="R591" s="2">
        <v>1520490.24</v>
      </c>
      <c r="S591" s="2">
        <v>1158288.3999999999</v>
      </c>
      <c r="T591" s="2">
        <v>40315.980000000003</v>
      </c>
      <c r="U591" s="2">
        <v>-35793.06</v>
      </c>
      <c r="V591" s="2">
        <v>40997.870000000003</v>
      </c>
      <c r="W591" s="2">
        <v>45520.79</v>
      </c>
    </row>
    <row r="592" spans="1:23" ht="15.75" customHeight="1">
      <c r="A592">
        <v>405</v>
      </c>
      <c r="B592" s="1">
        <v>45996</v>
      </c>
      <c r="C592" t="s">
        <v>58</v>
      </c>
      <c r="D592">
        <v>4</v>
      </c>
      <c r="E592" t="s">
        <v>54</v>
      </c>
      <c r="F592">
        <v>12</v>
      </c>
      <c r="G592" t="s">
        <v>33</v>
      </c>
      <c r="H592" t="s">
        <v>34</v>
      </c>
      <c r="I592" t="s">
        <v>27</v>
      </c>
      <c r="J592" t="s">
        <v>29</v>
      </c>
      <c r="K592" s="2">
        <v>112945.60000000001</v>
      </c>
      <c r="L592" s="2">
        <v>84100.44</v>
      </c>
      <c r="M592" s="2">
        <v>28845.16</v>
      </c>
      <c r="N592" s="2">
        <v>5911.94</v>
      </c>
      <c r="O592" s="2">
        <v>22933.22</v>
      </c>
      <c r="P592" s="3">
        <v>20.3</v>
      </c>
      <c r="Q592" s="2">
        <v>3245485.65</v>
      </c>
      <c r="R592" s="2">
        <v>1445120.87</v>
      </c>
      <c r="S592" s="2">
        <v>1800364.78</v>
      </c>
      <c r="T592" s="2">
        <v>3587.79</v>
      </c>
      <c r="U592" s="2">
        <v>-43866.7</v>
      </c>
      <c r="V592" s="2">
        <v>1909.95</v>
      </c>
      <c r="W592" s="2">
        <v>-38368.959999999999</v>
      </c>
    </row>
    <row r="593" spans="1:23" ht="15.75" customHeight="1">
      <c r="A593">
        <v>322</v>
      </c>
      <c r="B593" s="1">
        <v>45999</v>
      </c>
      <c r="C593" t="s">
        <v>58</v>
      </c>
      <c r="D593">
        <v>4</v>
      </c>
      <c r="E593" t="s">
        <v>54</v>
      </c>
      <c r="F593">
        <v>12</v>
      </c>
      <c r="G593" t="s">
        <v>43</v>
      </c>
      <c r="H593" t="s">
        <v>26</v>
      </c>
      <c r="I593" t="s">
        <v>27</v>
      </c>
      <c r="J593" t="s">
        <v>37</v>
      </c>
      <c r="K593" s="2">
        <v>61748.13</v>
      </c>
      <c r="L593" s="2">
        <v>49456.92</v>
      </c>
      <c r="M593" s="2">
        <v>12291.21</v>
      </c>
      <c r="N593" s="2">
        <v>2957.18</v>
      </c>
      <c r="O593" s="2">
        <v>9334.0300000000007</v>
      </c>
      <c r="P593" s="3">
        <v>15.12</v>
      </c>
      <c r="Q593" s="2">
        <v>3244737.01</v>
      </c>
      <c r="R593" s="2">
        <v>2011117.16</v>
      </c>
      <c r="S593" s="2">
        <v>1233619.8500000001</v>
      </c>
      <c r="T593" s="2">
        <v>42199.040000000001</v>
      </c>
      <c r="U593" s="2">
        <v>-11005.21</v>
      </c>
      <c r="V593" s="2">
        <v>-39356.480000000003</v>
      </c>
      <c r="W593" s="2">
        <v>-8162.65</v>
      </c>
    </row>
    <row r="594" spans="1:23" ht="15.75" customHeight="1">
      <c r="A594">
        <v>518</v>
      </c>
      <c r="B594" s="1">
        <v>46003</v>
      </c>
      <c r="C594" t="s">
        <v>58</v>
      </c>
      <c r="D594">
        <v>4</v>
      </c>
      <c r="E594" t="s">
        <v>54</v>
      </c>
      <c r="F594">
        <v>12</v>
      </c>
      <c r="G594" t="s">
        <v>29</v>
      </c>
      <c r="H594" t="s">
        <v>36</v>
      </c>
      <c r="I594" t="s">
        <v>31</v>
      </c>
      <c r="J594" t="s">
        <v>32</v>
      </c>
      <c r="K594" s="2">
        <v>93314.55</v>
      </c>
      <c r="L594" s="2">
        <v>50982.33</v>
      </c>
      <c r="M594" s="2">
        <v>42332.22</v>
      </c>
      <c r="N594" s="2">
        <v>9420.1</v>
      </c>
      <c r="O594" s="2">
        <v>32912.120000000003</v>
      </c>
      <c r="P594" s="3">
        <v>35.270000000000003</v>
      </c>
      <c r="Q594" s="2">
        <v>3720293.23</v>
      </c>
      <c r="R594" s="2">
        <v>1952322.74</v>
      </c>
      <c r="S594" s="2">
        <v>1767970.49</v>
      </c>
      <c r="T594" s="2">
        <v>74361.22</v>
      </c>
      <c r="U594" s="2">
        <v>-1058.29</v>
      </c>
      <c r="V594" s="2">
        <v>-11620.21</v>
      </c>
      <c r="W594" s="2">
        <v>61682.720000000001</v>
      </c>
    </row>
    <row r="595" spans="1:23" ht="15.75" customHeight="1">
      <c r="A595">
        <v>47</v>
      </c>
      <c r="B595" s="1">
        <v>46003</v>
      </c>
      <c r="C595" t="s">
        <v>58</v>
      </c>
      <c r="D595">
        <v>4</v>
      </c>
      <c r="E595" t="s">
        <v>54</v>
      </c>
      <c r="F595">
        <v>12</v>
      </c>
      <c r="G595" t="s">
        <v>33</v>
      </c>
      <c r="H595" t="s">
        <v>36</v>
      </c>
      <c r="I595" t="s">
        <v>35</v>
      </c>
      <c r="J595" t="s">
        <v>32</v>
      </c>
      <c r="K595" s="2">
        <v>155029.20000000001</v>
      </c>
      <c r="L595" s="2">
        <v>76913.89</v>
      </c>
      <c r="M595" s="2">
        <v>78115.31</v>
      </c>
      <c r="N595" s="2">
        <v>18477.64</v>
      </c>
      <c r="O595" s="2">
        <v>59637.67</v>
      </c>
      <c r="P595" s="3">
        <v>38.47</v>
      </c>
      <c r="Q595" s="2">
        <v>4414533.63</v>
      </c>
      <c r="R595" s="2">
        <v>2019804.63</v>
      </c>
      <c r="S595" s="2">
        <v>2394729</v>
      </c>
      <c r="T595" s="2">
        <v>76939.7</v>
      </c>
      <c r="U595" s="2">
        <v>-30099.73</v>
      </c>
      <c r="V595" s="2">
        <v>-34523.839999999997</v>
      </c>
      <c r="W595" s="2">
        <v>12316.13</v>
      </c>
    </row>
    <row r="596" spans="1:23" ht="15.75" customHeight="1">
      <c r="A596">
        <v>551</v>
      </c>
      <c r="B596" s="1">
        <v>46007</v>
      </c>
      <c r="C596" t="s">
        <v>58</v>
      </c>
      <c r="D596">
        <v>4</v>
      </c>
      <c r="E596" t="s">
        <v>54</v>
      </c>
      <c r="F596">
        <v>12</v>
      </c>
      <c r="G596" t="s">
        <v>25</v>
      </c>
      <c r="H596" t="s">
        <v>34</v>
      </c>
      <c r="I596" t="s">
        <v>27</v>
      </c>
      <c r="J596" t="s">
        <v>41</v>
      </c>
      <c r="K596" s="2">
        <v>173856.85</v>
      </c>
      <c r="L596" s="2">
        <v>81103.8</v>
      </c>
      <c r="M596" s="2">
        <v>92753.05</v>
      </c>
      <c r="N596" s="2">
        <v>9676.0499999999993</v>
      </c>
      <c r="O596" s="2">
        <v>83077</v>
      </c>
      <c r="P596" s="3">
        <v>47.78</v>
      </c>
      <c r="Q596" s="2">
        <v>563065.32999999996</v>
      </c>
      <c r="R596" s="2">
        <v>268437.65999999997</v>
      </c>
      <c r="S596" s="2">
        <v>294627.67</v>
      </c>
      <c r="T596" s="2">
        <v>127658.35</v>
      </c>
      <c r="U596" s="2">
        <v>-3405.28</v>
      </c>
      <c r="V596" s="2">
        <v>42265.75</v>
      </c>
      <c r="W596" s="2">
        <v>166518.82</v>
      </c>
    </row>
    <row r="597" spans="1:23" ht="15.75" customHeight="1">
      <c r="A597">
        <v>461</v>
      </c>
      <c r="B597" s="1">
        <v>46012</v>
      </c>
      <c r="C597" t="s">
        <v>58</v>
      </c>
      <c r="D597">
        <v>4</v>
      </c>
      <c r="E597" t="s">
        <v>54</v>
      </c>
      <c r="F597">
        <v>12</v>
      </c>
      <c r="G597" t="s">
        <v>29</v>
      </c>
      <c r="H597" t="s">
        <v>34</v>
      </c>
      <c r="I597" t="s">
        <v>35</v>
      </c>
      <c r="J597" t="s">
        <v>41</v>
      </c>
      <c r="K597" s="2">
        <v>30690.51</v>
      </c>
      <c r="L597" s="2">
        <v>19201.96</v>
      </c>
      <c r="M597" s="2">
        <v>11488.55</v>
      </c>
      <c r="N597" s="2">
        <v>1575.94</v>
      </c>
      <c r="O597" s="2">
        <v>9912.61</v>
      </c>
      <c r="P597" s="3">
        <v>32.299999999999997</v>
      </c>
      <c r="Q597" s="2">
        <v>4642411.4800000004</v>
      </c>
      <c r="R597" s="2">
        <v>1182892.07</v>
      </c>
      <c r="S597" s="2">
        <v>3459519.41</v>
      </c>
      <c r="T597" s="2">
        <v>24137.8</v>
      </c>
      <c r="U597" s="2">
        <v>4066.36</v>
      </c>
      <c r="V597" s="2">
        <v>8501.7999999999993</v>
      </c>
      <c r="W597" s="2">
        <v>36705.96</v>
      </c>
    </row>
    <row r="598" spans="1:23" ht="15.75" customHeight="1">
      <c r="A598">
        <v>455</v>
      </c>
      <c r="B598" s="1">
        <v>46013</v>
      </c>
      <c r="C598" t="s">
        <v>58</v>
      </c>
      <c r="D598">
        <v>4</v>
      </c>
      <c r="E598" t="s">
        <v>54</v>
      </c>
      <c r="F598">
        <v>12</v>
      </c>
      <c r="G598" t="s">
        <v>33</v>
      </c>
      <c r="H598" t="s">
        <v>30</v>
      </c>
      <c r="I598" t="s">
        <v>38</v>
      </c>
      <c r="J598" t="s">
        <v>41</v>
      </c>
      <c r="K598" s="2">
        <v>156967.89000000001</v>
      </c>
      <c r="L598" s="2">
        <v>75529.47</v>
      </c>
      <c r="M598" s="2">
        <v>81438.42</v>
      </c>
      <c r="N598" s="2">
        <v>11445.02</v>
      </c>
      <c r="O598" s="2">
        <v>69993.399999999994</v>
      </c>
      <c r="P598" s="3">
        <v>44.59</v>
      </c>
      <c r="Q598" s="2">
        <v>3561729.86</v>
      </c>
      <c r="R598" s="2">
        <v>1280969.54</v>
      </c>
      <c r="S598" s="2">
        <v>2280760.3199999998</v>
      </c>
      <c r="T598" s="2">
        <v>106207.42</v>
      </c>
      <c r="U598" s="2">
        <v>3986.78</v>
      </c>
      <c r="V598" s="2">
        <v>38902.28</v>
      </c>
      <c r="W598" s="2">
        <v>149096.48000000001</v>
      </c>
    </row>
    <row r="599" spans="1:23" ht="15.75" customHeight="1">
      <c r="A599">
        <v>202</v>
      </c>
      <c r="B599" s="1">
        <v>46016</v>
      </c>
      <c r="C599" t="s">
        <v>58</v>
      </c>
      <c r="D599">
        <v>4</v>
      </c>
      <c r="E599" t="s">
        <v>54</v>
      </c>
      <c r="F599">
        <v>12</v>
      </c>
      <c r="G599" t="s">
        <v>25</v>
      </c>
      <c r="H599" t="s">
        <v>34</v>
      </c>
      <c r="I599" t="s">
        <v>31</v>
      </c>
      <c r="J599" t="s">
        <v>28</v>
      </c>
      <c r="K599" s="2">
        <v>114934.34</v>
      </c>
      <c r="L599" s="2">
        <v>75521.600000000006</v>
      </c>
      <c r="M599" s="2">
        <v>39412.74</v>
      </c>
      <c r="N599" s="2">
        <v>3858.27</v>
      </c>
      <c r="O599" s="2">
        <v>35554.47</v>
      </c>
      <c r="P599" s="3">
        <v>30.93</v>
      </c>
      <c r="Q599" s="2">
        <v>1253118.8</v>
      </c>
      <c r="R599" s="2">
        <v>800504.95</v>
      </c>
      <c r="S599" s="2">
        <v>452613.85</v>
      </c>
      <c r="T599" s="2">
        <v>23833.41</v>
      </c>
      <c r="U599" s="2">
        <v>27745.21</v>
      </c>
      <c r="V599" s="2">
        <v>13191.27</v>
      </c>
      <c r="W599" s="2">
        <v>64769.89</v>
      </c>
    </row>
    <row r="600" spans="1:23" ht="15.75" customHeight="1">
      <c r="A600">
        <v>214</v>
      </c>
      <c r="B600" s="1">
        <v>46018</v>
      </c>
      <c r="C600" t="s">
        <v>58</v>
      </c>
      <c r="D600">
        <v>4</v>
      </c>
      <c r="E600" t="s">
        <v>54</v>
      </c>
      <c r="F600">
        <v>12</v>
      </c>
      <c r="G600" t="s">
        <v>25</v>
      </c>
      <c r="H600" t="s">
        <v>34</v>
      </c>
      <c r="I600" t="s">
        <v>35</v>
      </c>
      <c r="J600" t="s">
        <v>32</v>
      </c>
      <c r="K600" s="2">
        <v>153412.74</v>
      </c>
      <c r="L600" s="2">
        <v>85759.13</v>
      </c>
      <c r="M600" s="2">
        <v>67653.61</v>
      </c>
      <c r="N600" s="2">
        <v>5576.93</v>
      </c>
      <c r="O600" s="2">
        <v>62076.68</v>
      </c>
      <c r="P600" s="3">
        <v>40.46</v>
      </c>
      <c r="Q600" s="2">
        <v>3820412.83</v>
      </c>
      <c r="R600" s="2">
        <v>2229813.9</v>
      </c>
      <c r="S600" s="2">
        <v>1590598.93</v>
      </c>
      <c r="T600" s="2">
        <v>91314.77</v>
      </c>
      <c r="U600" s="2">
        <v>-55714.97</v>
      </c>
      <c r="V600" s="2">
        <v>35342.79</v>
      </c>
      <c r="W600" s="2">
        <v>70942.59</v>
      </c>
    </row>
    <row r="601" spans="1:23" ht="15.75" customHeight="1">
      <c r="A601">
        <v>501</v>
      </c>
      <c r="B601" s="1">
        <v>46020</v>
      </c>
      <c r="C601" t="s">
        <v>58</v>
      </c>
      <c r="D601">
        <v>4</v>
      </c>
      <c r="E601" t="s">
        <v>54</v>
      </c>
      <c r="F601">
        <v>12</v>
      </c>
      <c r="G601" t="s">
        <v>37</v>
      </c>
      <c r="H601" t="s">
        <v>30</v>
      </c>
      <c r="I601" t="s">
        <v>35</v>
      </c>
      <c r="J601" t="s">
        <v>29</v>
      </c>
      <c r="K601" s="2">
        <v>34440.36</v>
      </c>
      <c r="L601" s="2">
        <v>24438.16</v>
      </c>
      <c r="M601" s="2">
        <v>10002.200000000001</v>
      </c>
      <c r="N601" s="2">
        <v>816.89</v>
      </c>
      <c r="O601" s="2">
        <v>9185.31</v>
      </c>
      <c r="P601" s="3">
        <v>26.67</v>
      </c>
      <c r="Q601" s="2">
        <v>2341321.64</v>
      </c>
      <c r="R601" s="2">
        <v>893803.53</v>
      </c>
      <c r="S601" s="2">
        <v>1447518.11</v>
      </c>
      <c r="T601" s="2">
        <v>34655.51</v>
      </c>
      <c r="U601" s="2">
        <v>6624.55</v>
      </c>
      <c r="V601" s="2">
        <v>-9590.5400000000009</v>
      </c>
      <c r="W601" s="2">
        <v>31689.52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topLeftCell="D1" workbookViewId="0">
      <pane ySplit="1" topLeftCell="A43" activePane="bottomLeft" state="frozen"/>
      <selection pane="bottomLeft" sqref="A1:M61"/>
    </sheetView>
  </sheetViews>
  <sheetFormatPr defaultColWidth="14.42578125" defaultRowHeight="15" customHeight="1"/>
  <cols>
    <col min="1" max="1" width="21" customWidth="1"/>
    <col min="2" max="4" width="20" customWidth="1"/>
    <col min="5" max="5" width="22.42578125" customWidth="1"/>
    <col min="6" max="6" width="21.7109375" customWidth="1"/>
    <col min="7" max="7" width="22" customWidth="1"/>
    <col min="8" max="8" width="20" customWidth="1"/>
    <col min="9" max="9" width="23.28515625" customWidth="1"/>
    <col min="10" max="11" width="10" customWidth="1"/>
    <col min="12" max="12" width="11" customWidth="1"/>
    <col min="13" max="13" width="17.42578125" customWidth="1"/>
  </cols>
  <sheetData>
    <row r="1" spans="1:13">
      <c r="A1" s="4" t="s">
        <v>1</v>
      </c>
      <c r="B1" s="4" t="s">
        <v>59</v>
      </c>
      <c r="C1" s="4" t="s">
        <v>60</v>
      </c>
      <c r="D1" s="4" t="s">
        <v>14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15</v>
      </c>
      <c r="J1" s="4" t="s">
        <v>2</v>
      </c>
      <c r="K1" s="4" t="s">
        <v>3</v>
      </c>
      <c r="L1" s="4" t="s">
        <v>4</v>
      </c>
      <c r="M1" s="4" t="s">
        <v>5</v>
      </c>
    </row>
    <row r="2" spans="1:13">
      <c r="A2" s="1">
        <v>44197</v>
      </c>
      <c r="B2" s="2">
        <v>1031280.56</v>
      </c>
      <c r="C2" s="2">
        <v>658202.12</v>
      </c>
      <c r="D2" s="2">
        <v>317474.21000000002</v>
      </c>
      <c r="E2" s="2">
        <v>351100.19</v>
      </c>
      <c r="F2" s="2">
        <v>-297686.58</v>
      </c>
      <c r="G2" s="2">
        <v>225857.4</v>
      </c>
      <c r="H2" s="2">
        <v>279271.01</v>
      </c>
      <c r="I2" s="3">
        <v>30.78</v>
      </c>
      <c r="J2">
        <v>2021</v>
      </c>
      <c r="K2" t="s">
        <v>61</v>
      </c>
      <c r="L2" t="s">
        <v>24</v>
      </c>
      <c r="M2">
        <v>1</v>
      </c>
    </row>
    <row r="3" spans="1:13">
      <c r="A3" s="1">
        <v>44228</v>
      </c>
      <c r="B3" s="2">
        <v>721891.74</v>
      </c>
      <c r="C3" s="2">
        <v>459467.54</v>
      </c>
      <c r="D3" s="2">
        <v>219044.13</v>
      </c>
      <c r="E3" s="2">
        <v>293741.74</v>
      </c>
      <c r="F3" s="2">
        <v>-376039.97</v>
      </c>
      <c r="G3" s="2">
        <v>190616.34</v>
      </c>
      <c r="H3" s="2">
        <v>108318.11</v>
      </c>
      <c r="I3" s="3">
        <v>30.34</v>
      </c>
      <c r="J3">
        <v>2021</v>
      </c>
      <c r="K3" t="s">
        <v>61</v>
      </c>
      <c r="L3" t="s">
        <v>42</v>
      </c>
      <c r="M3">
        <v>2</v>
      </c>
    </row>
    <row r="4" spans="1:13">
      <c r="A4" s="1">
        <v>44256</v>
      </c>
      <c r="B4" s="2">
        <v>166213.87</v>
      </c>
      <c r="C4" s="2">
        <v>94095.44</v>
      </c>
      <c r="D4" s="2">
        <v>59353.819999999992</v>
      </c>
      <c r="E4" s="2">
        <v>111269.02</v>
      </c>
      <c r="F4" s="2">
        <v>7303.77</v>
      </c>
      <c r="G4" s="2">
        <v>88935.290000000008</v>
      </c>
      <c r="H4" s="2">
        <v>207508.08</v>
      </c>
      <c r="I4" s="3">
        <v>35.71</v>
      </c>
      <c r="J4">
        <v>2021</v>
      </c>
      <c r="K4" t="s">
        <v>61</v>
      </c>
      <c r="L4" t="s">
        <v>45</v>
      </c>
      <c r="M4">
        <v>3</v>
      </c>
    </row>
    <row r="5" spans="1:13">
      <c r="A5" s="1">
        <v>44287</v>
      </c>
      <c r="B5" s="2">
        <v>842115.5</v>
      </c>
      <c r="C5" s="2">
        <v>575687.59</v>
      </c>
      <c r="D5" s="2">
        <v>235026.31</v>
      </c>
      <c r="E5" s="2">
        <v>313021.53999999998</v>
      </c>
      <c r="F5" s="2">
        <v>-102600.1</v>
      </c>
      <c r="G5" s="2">
        <v>135997.64000000001</v>
      </c>
      <c r="H5" s="2">
        <v>346419.08</v>
      </c>
      <c r="I5" s="3">
        <v>27.91</v>
      </c>
      <c r="J5">
        <v>2021</v>
      </c>
      <c r="K5" t="s">
        <v>62</v>
      </c>
      <c r="L5" t="s">
        <v>46</v>
      </c>
      <c r="M5">
        <v>4</v>
      </c>
    </row>
    <row r="6" spans="1:13">
      <c r="A6" s="1">
        <v>44317</v>
      </c>
      <c r="B6" s="2">
        <v>969977.25</v>
      </c>
      <c r="C6" s="2">
        <v>606408.99</v>
      </c>
      <c r="D6" s="2">
        <v>306793.58</v>
      </c>
      <c r="E6" s="2">
        <v>455492.77</v>
      </c>
      <c r="F6" s="2">
        <v>-277396.03000000003</v>
      </c>
      <c r="G6" s="2">
        <v>80846.5</v>
      </c>
      <c r="H6" s="2">
        <v>258943.24</v>
      </c>
      <c r="I6" s="3">
        <v>31.63</v>
      </c>
      <c r="J6">
        <v>2021</v>
      </c>
      <c r="K6" t="s">
        <v>62</v>
      </c>
      <c r="L6" t="s">
        <v>47</v>
      </c>
      <c r="M6">
        <v>5</v>
      </c>
    </row>
    <row r="7" spans="1:13">
      <c r="A7" s="1">
        <v>44348</v>
      </c>
      <c r="B7" s="2">
        <v>902736.66999999993</v>
      </c>
      <c r="C7" s="2">
        <v>603689.17000000004</v>
      </c>
      <c r="D7" s="2">
        <v>246621.48</v>
      </c>
      <c r="E7" s="2">
        <v>369792.7</v>
      </c>
      <c r="F7" s="2">
        <v>-122613.41</v>
      </c>
      <c r="G7" s="2">
        <v>130324.44</v>
      </c>
      <c r="H7" s="2">
        <v>377503.73</v>
      </c>
      <c r="I7" s="3">
        <v>27.32</v>
      </c>
      <c r="J7">
        <v>2021</v>
      </c>
      <c r="K7" t="s">
        <v>62</v>
      </c>
      <c r="L7" t="s">
        <v>48</v>
      </c>
      <c r="M7">
        <v>6</v>
      </c>
    </row>
    <row r="8" spans="1:13">
      <c r="A8" s="1">
        <v>44378</v>
      </c>
      <c r="B8" s="2">
        <v>894595.5</v>
      </c>
      <c r="C8" s="2">
        <v>540112.54</v>
      </c>
      <c r="D8" s="2">
        <v>303481.56</v>
      </c>
      <c r="E8" s="2">
        <v>327716.21999999997</v>
      </c>
      <c r="F8" s="2">
        <v>-160919.73000000001</v>
      </c>
      <c r="G8" s="2">
        <v>134971.94</v>
      </c>
      <c r="H8" s="2">
        <v>301768.43</v>
      </c>
      <c r="I8" s="3">
        <v>33.92</v>
      </c>
      <c r="J8">
        <v>2021</v>
      </c>
      <c r="K8" t="s">
        <v>63</v>
      </c>
      <c r="L8" t="s">
        <v>49</v>
      </c>
      <c r="M8">
        <v>7</v>
      </c>
    </row>
    <row r="9" spans="1:13">
      <c r="A9" s="1">
        <v>44409</v>
      </c>
      <c r="B9" s="2">
        <v>607975.92000000004</v>
      </c>
      <c r="C9" s="2">
        <v>402102.51</v>
      </c>
      <c r="D9" s="2">
        <v>178529.9</v>
      </c>
      <c r="E9" s="2">
        <v>331993.25</v>
      </c>
      <c r="F9" s="2">
        <v>-146217.34</v>
      </c>
      <c r="G9" s="2">
        <v>77429.87999999999</v>
      </c>
      <c r="H9" s="2">
        <v>263205.78999999998</v>
      </c>
      <c r="I9" s="3">
        <v>29.36</v>
      </c>
      <c r="J9">
        <v>2021</v>
      </c>
      <c r="K9" t="s">
        <v>63</v>
      </c>
      <c r="L9" t="s">
        <v>50</v>
      </c>
      <c r="M9">
        <v>8</v>
      </c>
    </row>
    <row r="10" spans="1:13">
      <c r="A10" s="1">
        <v>44440</v>
      </c>
      <c r="B10" s="2">
        <v>1106348.47</v>
      </c>
      <c r="C10" s="2">
        <v>697239.44000000006</v>
      </c>
      <c r="D10" s="2">
        <v>344863.71</v>
      </c>
      <c r="E10" s="2">
        <v>584955.72</v>
      </c>
      <c r="F10" s="2">
        <v>-260294.33</v>
      </c>
      <c r="G10" s="2">
        <v>30820.94</v>
      </c>
      <c r="H10" s="2">
        <v>355482.33</v>
      </c>
      <c r="I10" s="3">
        <v>31.17</v>
      </c>
      <c r="J10">
        <v>2021</v>
      </c>
      <c r="K10" t="s">
        <v>63</v>
      </c>
      <c r="L10" t="s">
        <v>51</v>
      </c>
      <c r="M10">
        <v>9</v>
      </c>
    </row>
    <row r="11" spans="1:13">
      <c r="A11" s="1">
        <v>44470</v>
      </c>
      <c r="B11" s="2">
        <v>882373.51</v>
      </c>
      <c r="C11" s="2">
        <v>561760.78</v>
      </c>
      <c r="D11" s="2">
        <v>277191.96999999997</v>
      </c>
      <c r="E11" s="2">
        <v>366903.81</v>
      </c>
      <c r="F11" s="2">
        <v>-215190.38</v>
      </c>
      <c r="G11" s="2">
        <v>136758.1</v>
      </c>
      <c r="H11" s="2">
        <v>288471.53000000003</v>
      </c>
      <c r="I11" s="3">
        <v>31.41</v>
      </c>
      <c r="J11">
        <v>2021</v>
      </c>
      <c r="K11" t="s">
        <v>64</v>
      </c>
      <c r="L11" t="s">
        <v>52</v>
      </c>
      <c r="M11">
        <v>10</v>
      </c>
    </row>
    <row r="12" spans="1:13">
      <c r="A12" s="1">
        <v>44501</v>
      </c>
      <c r="B12" s="2">
        <v>683466.51</v>
      </c>
      <c r="C12" s="2">
        <v>478345.99</v>
      </c>
      <c r="D12" s="2">
        <v>166923.25</v>
      </c>
      <c r="E12" s="2">
        <v>235519.79</v>
      </c>
      <c r="F12" s="2">
        <v>-187595.65</v>
      </c>
      <c r="G12" s="2">
        <v>-12023.56</v>
      </c>
      <c r="H12" s="2">
        <v>35900.58</v>
      </c>
      <c r="I12" s="3">
        <v>24.42</v>
      </c>
      <c r="J12">
        <v>2021</v>
      </c>
      <c r="K12" t="s">
        <v>64</v>
      </c>
      <c r="L12" t="s">
        <v>53</v>
      </c>
      <c r="M12">
        <v>11</v>
      </c>
    </row>
    <row r="13" spans="1:13">
      <c r="A13" s="1">
        <v>44531</v>
      </c>
      <c r="B13" s="2">
        <v>549940.19999999995</v>
      </c>
      <c r="C13" s="2">
        <v>342710.9</v>
      </c>
      <c r="D13" s="2">
        <v>169715.86</v>
      </c>
      <c r="E13" s="2">
        <v>298603.15000000002</v>
      </c>
      <c r="F13" s="2">
        <v>-104726.36</v>
      </c>
      <c r="G13" s="2">
        <v>128360.52</v>
      </c>
      <c r="H13" s="2">
        <v>322237.31</v>
      </c>
      <c r="I13" s="3">
        <v>30.86</v>
      </c>
      <c r="J13">
        <v>2021</v>
      </c>
      <c r="K13" t="s">
        <v>64</v>
      </c>
      <c r="L13" t="s">
        <v>54</v>
      </c>
      <c r="M13">
        <v>12</v>
      </c>
    </row>
    <row r="14" spans="1:13">
      <c r="A14" s="1">
        <v>44562</v>
      </c>
      <c r="B14" s="2">
        <v>780071.96</v>
      </c>
      <c r="C14" s="2">
        <v>480611.24</v>
      </c>
      <c r="D14" s="2">
        <v>256602.32</v>
      </c>
      <c r="E14" s="2">
        <v>393912.68</v>
      </c>
      <c r="F14" s="2">
        <v>-142528</v>
      </c>
      <c r="G14" s="2">
        <v>65872.38</v>
      </c>
      <c r="H14" s="2">
        <v>317257.06</v>
      </c>
      <c r="I14" s="3">
        <v>32.89</v>
      </c>
      <c r="J14">
        <v>2022</v>
      </c>
      <c r="K14" t="s">
        <v>61</v>
      </c>
      <c r="L14" t="s">
        <v>24</v>
      </c>
      <c r="M14">
        <v>1</v>
      </c>
    </row>
    <row r="15" spans="1:13">
      <c r="A15" s="1">
        <v>44593</v>
      </c>
      <c r="B15" s="2">
        <v>1272122.43</v>
      </c>
      <c r="C15" s="2">
        <v>735498.82</v>
      </c>
      <c r="D15" s="2">
        <v>452408.26</v>
      </c>
      <c r="E15" s="2">
        <v>615229.28</v>
      </c>
      <c r="F15" s="2">
        <v>-250878.88</v>
      </c>
      <c r="G15" s="2">
        <v>-21759.82</v>
      </c>
      <c r="H15" s="2">
        <v>342590.58</v>
      </c>
      <c r="I15" s="3">
        <v>35.56</v>
      </c>
      <c r="J15">
        <v>2022</v>
      </c>
      <c r="K15" t="s">
        <v>61</v>
      </c>
      <c r="L15" t="s">
        <v>42</v>
      </c>
      <c r="M15">
        <v>2</v>
      </c>
    </row>
    <row r="16" spans="1:13">
      <c r="A16" s="1">
        <v>44621</v>
      </c>
      <c r="B16" s="2">
        <v>623645.57000000007</v>
      </c>
      <c r="C16" s="2">
        <v>371529.01</v>
      </c>
      <c r="D16" s="2">
        <v>213920.93</v>
      </c>
      <c r="E16" s="2">
        <v>197246.49</v>
      </c>
      <c r="F16" s="2">
        <v>-133970.43</v>
      </c>
      <c r="G16" s="2">
        <v>-40318.879999999997</v>
      </c>
      <c r="H16" s="2">
        <v>22957.180000000011</v>
      </c>
      <c r="I16" s="3">
        <v>34.299999999999997</v>
      </c>
      <c r="J16">
        <v>2022</v>
      </c>
      <c r="K16" t="s">
        <v>61</v>
      </c>
      <c r="L16" t="s">
        <v>45</v>
      </c>
      <c r="M16">
        <v>3</v>
      </c>
    </row>
    <row r="17" spans="1:13">
      <c r="A17" s="1">
        <v>44652</v>
      </c>
      <c r="B17" s="2">
        <v>1175278.46</v>
      </c>
      <c r="C17" s="2">
        <v>777576.59</v>
      </c>
      <c r="D17" s="2">
        <v>336936.9</v>
      </c>
      <c r="E17" s="2">
        <v>539913.55000000005</v>
      </c>
      <c r="F17" s="2">
        <v>-334808.12</v>
      </c>
      <c r="G17" s="2">
        <v>-77771.72</v>
      </c>
      <c r="H17" s="2">
        <v>127333.71</v>
      </c>
      <c r="I17" s="3">
        <v>28.67</v>
      </c>
      <c r="J17">
        <v>2022</v>
      </c>
      <c r="K17" t="s">
        <v>62</v>
      </c>
      <c r="L17" t="s">
        <v>46</v>
      </c>
      <c r="M17">
        <v>4</v>
      </c>
    </row>
    <row r="18" spans="1:13">
      <c r="A18" s="1">
        <v>44682</v>
      </c>
      <c r="B18" s="2">
        <v>1316207.54</v>
      </c>
      <c r="C18" s="2">
        <v>840217.52</v>
      </c>
      <c r="D18" s="2">
        <v>404387.39</v>
      </c>
      <c r="E18" s="2">
        <v>544324.26</v>
      </c>
      <c r="F18" s="2">
        <v>-285167.7</v>
      </c>
      <c r="G18" s="2">
        <v>67117.94</v>
      </c>
      <c r="H18" s="2">
        <v>326274.5</v>
      </c>
      <c r="I18" s="3">
        <v>30.72</v>
      </c>
      <c r="J18">
        <v>2022</v>
      </c>
      <c r="K18" t="s">
        <v>62</v>
      </c>
      <c r="L18" t="s">
        <v>47</v>
      </c>
      <c r="M18">
        <v>5</v>
      </c>
    </row>
    <row r="19" spans="1:13">
      <c r="A19" s="1">
        <v>44713</v>
      </c>
      <c r="B19" s="2">
        <v>492821.71</v>
      </c>
      <c r="C19" s="2">
        <v>356416.86</v>
      </c>
      <c r="D19" s="2">
        <v>119899.23</v>
      </c>
      <c r="E19" s="2">
        <v>141109.82999999999</v>
      </c>
      <c r="F19" s="2">
        <v>-186321.15</v>
      </c>
      <c r="G19" s="2">
        <v>83274.98</v>
      </c>
      <c r="H19" s="2">
        <v>38063.660000000003</v>
      </c>
      <c r="I19" s="3">
        <v>24.33</v>
      </c>
      <c r="J19">
        <v>2022</v>
      </c>
      <c r="K19" t="s">
        <v>62</v>
      </c>
      <c r="L19" t="s">
        <v>48</v>
      </c>
      <c r="M19">
        <v>6</v>
      </c>
    </row>
    <row r="20" spans="1:13">
      <c r="A20" s="1">
        <v>44743</v>
      </c>
      <c r="B20" s="2">
        <v>1604005.22</v>
      </c>
      <c r="C20" s="2">
        <v>984977.08</v>
      </c>
      <c r="D20" s="2">
        <v>522798.04</v>
      </c>
      <c r="E20" s="2">
        <v>583372.41</v>
      </c>
      <c r="F20" s="2">
        <v>-175296.01</v>
      </c>
      <c r="G20" s="2">
        <v>258187.34</v>
      </c>
      <c r="H20" s="2">
        <v>666263.74</v>
      </c>
      <c r="I20" s="3">
        <v>32.590000000000003</v>
      </c>
      <c r="J20">
        <v>2022</v>
      </c>
      <c r="K20" t="s">
        <v>63</v>
      </c>
      <c r="L20" t="s">
        <v>49</v>
      </c>
      <c r="M20">
        <v>7</v>
      </c>
    </row>
    <row r="21" spans="1:13" ht="15.75" customHeight="1">
      <c r="A21" s="1">
        <v>44774</v>
      </c>
      <c r="B21" s="2">
        <v>597202.97</v>
      </c>
      <c r="C21" s="2">
        <v>333726.69</v>
      </c>
      <c r="D21" s="2">
        <v>214800.3</v>
      </c>
      <c r="E21" s="2">
        <v>246465.7</v>
      </c>
      <c r="F21" s="2">
        <v>-218960.33</v>
      </c>
      <c r="G21" s="2">
        <v>104082.03</v>
      </c>
      <c r="H21" s="2">
        <v>131587.4</v>
      </c>
      <c r="I21" s="3">
        <v>35.97</v>
      </c>
      <c r="J21">
        <v>2022</v>
      </c>
      <c r="K21" t="s">
        <v>63</v>
      </c>
      <c r="L21" t="s">
        <v>50</v>
      </c>
      <c r="M21">
        <v>8</v>
      </c>
    </row>
    <row r="22" spans="1:13" ht="15.75" customHeight="1">
      <c r="A22" s="1">
        <v>44805</v>
      </c>
      <c r="B22" s="2">
        <v>1052619.29</v>
      </c>
      <c r="C22" s="2">
        <v>674236.35</v>
      </c>
      <c r="D22" s="2">
        <v>313543.76</v>
      </c>
      <c r="E22" s="2">
        <v>450128.01</v>
      </c>
      <c r="F22" s="2">
        <v>-383036.44</v>
      </c>
      <c r="G22" s="2">
        <v>130634.71</v>
      </c>
      <c r="H22" s="2">
        <v>197726.28</v>
      </c>
      <c r="I22" s="3">
        <v>29.79</v>
      </c>
      <c r="J22">
        <v>2022</v>
      </c>
      <c r="K22" t="s">
        <v>63</v>
      </c>
      <c r="L22" t="s">
        <v>51</v>
      </c>
      <c r="M22">
        <v>9</v>
      </c>
    </row>
    <row r="23" spans="1:13" ht="15.75" customHeight="1">
      <c r="A23" s="1">
        <v>44835</v>
      </c>
      <c r="B23" s="2">
        <v>1865338.47</v>
      </c>
      <c r="C23" s="2">
        <v>1199564.1399999999</v>
      </c>
      <c r="D23" s="2">
        <v>557254.26</v>
      </c>
      <c r="E23" s="2">
        <v>653285.09</v>
      </c>
      <c r="F23" s="2">
        <v>-203953.86</v>
      </c>
      <c r="G23" s="2">
        <v>202146.04</v>
      </c>
      <c r="H23" s="2">
        <v>651477.27</v>
      </c>
      <c r="I23" s="3">
        <v>29.87</v>
      </c>
      <c r="J23">
        <v>2022</v>
      </c>
      <c r="K23" t="s">
        <v>64</v>
      </c>
      <c r="L23" t="s">
        <v>52</v>
      </c>
      <c r="M23">
        <v>10</v>
      </c>
    </row>
    <row r="24" spans="1:13" ht="15.75" customHeight="1">
      <c r="A24" s="1">
        <v>44866</v>
      </c>
      <c r="B24" s="2">
        <v>1040764.74</v>
      </c>
      <c r="C24" s="2">
        <v>612201.57000000007</v>
      </c>
      <c r="D24" s="2">
        <v>359509.16</v>
      </c>
      <c r="E24" s="2">
        <v>448754.71</v>
      </c>
      <c r="F24" s="2">
        <v>-130748.78</v>
      </c>
      <c r="G24" s="2">
        <v>66267.650000000009</v>
      </c>
      <c r="H24" s="2">
        <v>384273.58</v>
      </c>
      <c r="I24" s="3">
        <v>34.54</v>
      </c>
      <c r="J24">
        <v>2022</v>
      </c>
      <c r="K24" t="s">
        <v>64</v>
      </c>
      <c r="L24" t="s">
        <v>53</v>
      </c>
      <c r="M24">
        <v>11</v>
      </c>
    </row>
    <row r="25" spans="1:13" ht="15.75" customHeight="1">
      <c r="A25" s="1">
        <v>44896</v>
      </c>
      <c r="B25" s="2">
        <v>1329883.76</v>
      </c>
      <c r="C25" s="2">
        <v>854523.35</v>
      </c>
      <c r="D25" s="2">
        <v>401096.2</v>
      </c>
      <c r="E25" s="2">
        <v>536537.30000000005</v>
      </c>
      <c r="F25" s="2">
        <v>-284831.71000000002</v>
      </c>
      <c r="G25" s="2">
        <v>126722.77</v>
      </c>
      <c r="H25" s="2">
        <v>378428.36</v>
      </c>
      <c r="I25" s="3">
        <v>30.16</v>
      </c>
      <c r="J25">
        <v>2022</v>
      </c>
      <c r="K25" t="s">
        <v>64</v>
      </c>
      <c r="L25" t="s">
        <v>54</v>
      </c>
      <c r="M25">
        <v>12</v>
      </c>
    </row>
    <row r="26" spans="1:13" ht="15.75" customHeight="1">
      <c r="A26" s="1">
        <v>44927</v>
      </c>
      <c r="B26" s="2">
        <v>823764.78</v>
      </c>
      <c r="C26" s="2">
        <v>562928.99</v>
      </c>
      <c r="D26" s="2">
        <v>213941.32</v>
      </c>
      <c r="E26" s="2">
        <v>299457.08</v>
      </c>
      <c r="F26" s="2">
        <v>-237913.7</v>
      </c>
      <c r="G26" s="2">
        <v>105200.99</v>
      </c>
      <c r="H26" s="2">
        <v>166744.37</v>
      </c>
      <c r="I26" s="3">
        <v>25.97</v>
      </c>
      <c r="J26">
        <v>2023</v>
      </c>
      <c r="K26" t="s">
        <v>61</v>
      </c>
      <c r="L26" t="s">
        <v>24</v>
      </c>
      <c r="M26">
        <v>1</v>
      </c>
    </row>
    <row r="27" spans="1:13" ht="15.75" customHeight="1">
      <c r="A27" s="1">
        <v>44958</v>
      </c>
      <c r="B27" s="2">
        <v>1269644.99</v>
      </c>
      <c r="C27" s="2">
        <v>799661.72</v>
      </c>
      <c r="D27" s="2">
        <v>387670.61</v>
      </c>
      <c r="E27" s="2">
        <v>340654.88</v>
      </c>
      <c r="F27" s="2">
        <v>-258956.78</v>
      </c>
      <c r="G27" s="2">
        <v>236110.6</v>
      </c>
      <c r="H27" s="2">
        <v>317808.7</v>
      </c>
      <c r="I27" s="3">
        <v>30.53</v>
      </c>
      <c r="J27">
        <v>2023</v>
      </c>
      <c r="K27" t="s">
        <v>61</v>
      </c>
      <c r="L27" t="s">
        <v>42</v>
      </c>
      <c r="M27">
        <v>2</v>
      </c>
    </row>
    <row r="28" spans="1:13" ht="15.75" customHeight="1">
      <c r="A28" s="1">
        <v>44986</v>
      </c>
      <c r="B28" s="2">
        <v>1366978.97</v>
      </c>
      <c r="C28" s="2">
        <v>791044.82</v>
      </c>
      <c r="D28" s="2">
        <v>475629.95</v>
      </c>
      <c r="E28" s="2">
        <v>512253.71</v>
      </c>
      <c r="F28" s="2">
        <v>-318638.71000000002</v>
      </c>
      <c r="G28" s="2">
        <v>-210.21000000000279</v>
      </c>
      <c r="H28" s="2">
        <v>193404.79</v>
      </c>
      <c r="I28" s="3">
        <v>34.79</v>
      </c>
      <c r="J28">
        <v>2023</v>
      </c>
      <c r="K28" t="s">
        <v>61</v>
      </c>
      <c r="L28" t="s">
        <v>45</v>
      </c>
      <c r="M28">
        <v>3</v>
      </c>
    </row>
    <row r="29" spans="1:13" ht="15.75" customHeight="1">
      <c r="A29" s="1">
        <v>45017</v>
      </c>
      <c r="B29" s="2">
        <v>906123.52</v>
      </c>
      <c r="C29" s="2">
        <v>575575.78</v>
      </c>
      <c r="D29" s="2">
        <v>277332.89</v>
      </c>
      <c r="E29" s="2">
        <v>393440.39</v>
      </c>
      <c r="F29" s="2">
        <v>-335393.27</v>
      </c>
      <c r="G29" s="2">
        <v>74695.81</v>
      </c>
      <c r="H29" s="2">
        <v>132742.93</v>
      </c>
      <c r="I29" s="3">
        <v>30.61</v>
      </c>
      <c r="J29">
        <v>2023</v>
      </c>
      <c r="K29" t="s">
        <v>62</v>
      </c>
      <c r="L29" t="s">
        <v>46</v>
      </c>
      <c r="M29">
        <v>4</v>
      </c>
    </row>
    <row r="30" spans="1:13" ht="15.75" customHeight="1">
      <c r="A30" s="1">
        <v>45047</v>
      </c>
      <c r="B30" s="2">
        <v>1228618.95</v>
      </c>
      <c r="C30" s="2">
        <v>821850.17999999993</v>
      </c>
      <c r="D30" s="2">
        <v>327989.86</v>
      </c>
      <c r="E30" s="2">
        <v>444253.95</v>
      </c>
      <c r="F30" s="2">
        <v>-394049.24</v>
      </c>
      <c r="G30" s="2">
        <v>119307.14</v>
      </c>
      <c r="H30" s="2">
        <v>169511.85</v>
      </c>
      <c r="I30" s="3">
        <v>26.7</v>
      </c>
      <c r="J30">
        <v>2023</v>
      </c>
      <c r="K30" t="s">
        <v>62</v>
      </c>
      <c r="L30" t="s">
        <v>47</v>
      </c>
      <c r="M30">
        <v>5</v>
      </c>
    </row>
    <row r="31" spans="1:13" ht="15.75" customHeight="1">
      <c r="A31" s="1">
        <v>45078</v>
      </c>
      <c r="B31" s="2">
        <v>815979.65999999992</v>
      </c>
      <c r="C31" s="2">
        <v>533983.14</v>
      </c>
      <c r="D31" s="2">
        <v>236822.78</v>
      </c>
      <c r="E31" s="2">
        <v>232029.2</v>
      </c>
      <c r="F31" s="2">
        <v>-215902.65</v>
      </c>
      <c r="G31" s="2">
        <v>125349.23</v>
      </c>
      <c r="H31" s="2">
        <v>141475.78</v>
      </c>
      <c r="I31" s="3">
        <v>29.02</v>
      </c>
      <c r="J31">
        <v>2023</v>
      </c>
      <c r="K31" t="s">
        <v>62</v>
      </c>
      <c r="L31" t="s">
        <v>48</v>
      </c>
      <c r="M31">
        <v>6</v>
      </c>
    </row>
    <row r="32" spans="1:13" ht="15.75" customHeight="1">
      <c r="A32" s="1">
        <v>45108</v>
      </c>
      <c r="B32" s="2">
        <v>618783.35</v>
      </c>
      <c r="C32" s="2">
        <v>336985.07</v>
      </c>
      <c r="D32" s="2">
        <v>237473.23</v>
      </c>
      <c r="E32" s="2">
        <v>267678.98</v>
      </c>
      <c r="F32" s="2">
        <v>-42072.89</v>
      </c>
      <c r="G32" s="2">
        <v>2710.25</v>
      </c>
      <c r="H32" s="2">
        <v>228316.34</v>
      </c>
      <c r="I32" s="3">
        <v>38.380000000000003</v>
      </c>
      <c r="J32">
        <v>2023</v>
      </c>
      <c r="K32" t="s">
        <v>63</v>
      </c>
      <c r="L32" t="s">
        <v>49</v>
      </c>
      <c r="M32">
        <v>7</v>
      </c>
    </row>
    <row r="33" spans="1:13" ht="15.75" customHeight="1">
      <c r="A33" s="1">
        <v>45139</v>
      </c>
      <c r="B33" s="2">
        <v>1188722.6399999999</v>
      </c>
      <c r="C33" s="2">
        <v>723427.27</v>
      </c>
      <c r="D33" s="2">
        <v>392957.64</v>
      </c>
      <c r="E33" s="2">
        <v>463549.85</v>
      </c>
      <c r="F33" s="2">
        <v>-402668.27</v>
      </c>
      <c r="G33" s="2">
        <v>201927.04000000001</v>
      </c>
      <c r="H33" s="2">
        <v>262808.62000000011</v>
      </c>
      <c r="I33" s="3">
        <v>33.06</v>
      </c>
      <c r="J33">
        <v>2023</v>
      </c>
      <c r="K33" t="s">
        <v>63</v>
      </c>
      <c r="L33" t="s">
        <v>50</v>
      </c>
      <c r="M33">
        <v>8</v>
      </c>
    </row>
    <row r="34" spans="1:13" ht="15.75" customHeight="1">
      <c r="A34" s="1">
        <v>45170</v>
      </c>
      <c r="B34" s="2">
        <v>1060767.6499999999</v>
      </c>
      <c r="C34" s="2">
        <v>694322.77</v>
      </c>
      <c r="D34" s="2">
        <v>316512.18</v>
      </c>
      <c r="E34" s="2">
        <v>433733.68</v>
      </c>
      <c r="F34" s="2">
        <v>-149801.15</v>
      </c>
      <c r="G34" s="2">
        <v>88422.26</v>
      </c>
      <c r="H34" s="2">
        <v>372354.79</v>
      </c>
      <c r="I34" s="3">
        <v>29.84</v>
      </c>
      <c r="J34">
        <v>2023</v>
      </c>
      <c r="K34" t="s">
        <v>63</v>
      </c>
      <c r="L34" t="s">
        <v>51</v>
      </c>
      <c r="M34">
        <v>9</v>
      </c>
    </row>
    <row r="35" spans="1:13" ht="15.75" customHeight="1">
      <c r="A35" s="1">
        <v>45200</v>
      </c>
      <c r="B35" s="2">
        <v>1455255.75</v>
      </c>
      <c r="C35" s="2">
        <v>950912.17</v>
      </c>
      <c r="D35" s="2">
        <v>414030.39</v>
      </c>
      <c r="E35" s="2">
        <v>625917.54</v>
      </c>
      <c r="F35" s="2">
        <v>-256251.84</v>
      </c>
      <c r="G35" s="2">
        <v>162640.17000000001</v>
      </c>
      <c r="H35" s="2">
        <v>532305.87</v>
      </c>
      <c r="I35" s="3">
        <v>28.45</v>
      </c>
      <c r="J35">
        <v>2023</v>
      </c>
      <c r="K35" t="s">
        <v>64</v>
      </c>
      <c r="L35" t="s">
        <v>52</v>
      </c>
      <c r="M35">
        <v>10</v>
      </c>
    </row>
    <row r="36" spans="1:13" ht="15.75" customHeight="1">
      <c r="A36" s="1">
        <v>45231</v>
      </c>
      <c r="B36" s="2">
        <v>1024622.41</v>
      </c>
      <c r="C36" s="2">
        <v>658700.12</v>
      </c>
      <c r="D36" s="2">
        <v>304996.76</v>
      </c>
      <c r="E36" s="2">
        <v>391869.96</v>
      </c>
      <c r="F36" s="2">
        <v>-254263.73</v>
      </c>
      <c r="G36" s="2">
        <v>158.33999999999651</v>
      </c>
      <c r="H36" s="2">
        <v>137764.57</v>
      </c>
      <c r="I36" s="3">
        <v>29.77</v>
      </c>
      <c r="J36">
        <v>2023</v>
      </c>
      <c r="K36" t="s">
        <v>64</v>
      </c>
      <c r="L36" t="s">
        <v>53</v>
      </c>
      <c r="M36">
        <v>11</v>
      </c>
    </row>
    <row r="37" spans="1:13" ht="15.75" customHeight="1">
      <c r="A37" s="1">
        <v>45261</v>
      </c>
      <c r="B37" s="2">
        <v>1319055.07</v>
      </c>
      <c r="C37" s="2">
        <v>787848.53</v>
      </c>
      <c r="D37" s="2">
        <v>461700.44</v>
      </c>
      <c r="E37" s="2">
        <v>656291.44999999995</v>
      </c>
      <c r="F37" s="2">
        <v>-208133.65</v>
      </c>
      <c r="G37" s="2">
        <v>59008.719999999987</v>
      </c>
      <c r="H37" s="2">
        <v>507166.52</v>
      </c>
      <c r="I37" s="3">
        <v>35</v>
      </c>
      <c r="J37">
        <v>2023</v>
      </c>
      <c r="K37" t="s">
        <v>64</v>
      </c>
      <c r="L37" t="s">
        <v>54</v>
      </c>
      <c r="M37">
        <v>12</v>
      </c>
    </row>
    <row r="38" spans="1:13" ht="15.75" customHeight="1">
      <c r="A38" s="1">
        <v>45292</v>
      </c>
      <c r="B38" s="2">
        <v>1213672.3700000001</v>
      </c>
      <c r="C38" s="2">
        <v>772995.66</v>
      </c>
      <c r="D38" s="2">
        <v>370994.53</v>
      </c>
      <c r="E38" s="2">
        <v>404165.73</v>
      </c>
      <c r="F38" s="2">
        <v>-117456.93</v>
      </c>
      <c r="G38" s="2">
        <v>183749.36</v>
      </c>
      <c r="H38" s="2">
        <v>470458.16</v>
      </c>
      <c r="I38" s="3">
        <v>30.57</v>
      </c>
      <c r="J38">
        <v>2024</v>
      </c>
      <c r="K38" t="s">
        <v>61</v>
      </c>
      <c r="L38" t="s">
        <v>24</v>
      </c>
      <c r="M38">
        <v>1</v>
      </c>
    </row>
    <row r="39" spans="1:13" ht="15.75" customHeight="1">
      <c r="A39" s="1">
        <v>45323</v>
      </c>
      <c r="B39" s="2">
        <v>2017531.04</v>
      </c>
      <c r="C39" s="2">
        <v>1322566.46</v>
      </c>
      <c r="D39" s="2">
        <v>572796.18999999994</v>
      </c>
      <c r="E39" s="2">
        <v>828408.81</v>
      </c>
      <c r="F39" s="2">
        <v>-456649.73</v>
      </c>
      <c r="G39" s="2">
        <v>104804.55</v>
      </c>
      <c r="H39" s="2">
        <v>476563.63</v>
      </c>
      <c r="I39" s="3">
        <v>28.39</v>
      </c>
      <c r="J39">
        <v>2024</v>
      </c>
      <c r="K39" t="s">
        <v>61</v>
      </c>
      <c r="L39" t="s">
        <v>42</v>
      </c>
      <c r="M39">
        <v>2</v>
      </c>
    </row>
    <row r="40" spans="1:13" ht="15.75" customHeight="1">
      <c r="A40" s="1">
        <v>45352</v>
      </c>
      <c r="B40" s="2">
        <v>888246.45</v>
      </c>
      <c r="C40" s="2">
        <v>512955.3</v>
      </c>
      <c r="D40" s="2">
        <v>307147.63</v>
      </c>
      <c r="E40" s="2">
        <v>430174.05</v>
      </c>
      <c r="F40" s="2">
        <v>-1855.7399999999971</v>
      </c>
      <c r="G40" s="2">
        <v>115567.37</v>
      </c>
      <c r="H40" s="2">
        <v>543885.68000000005</v>
      </c>
      <c r="I40" s="3">
        <v>34.58</v>
      </c>
      <c r="J40">
        <v>2024</v>
      </c>
      <c r="K40" t="s">
        <v>61</v>
      </c>
      <c r="L40" t="s">
        <v>45</v>
      </c>
      <c r="M40">
        <v>3</v>
      </c>
    </row>
    <row r="41" spans="1:13" ht="15.75" customHeight="1">
      <c r="A41" s="1">
        <v>45383</v>
      </c>
      <c r="B41" s="2">
        <v>960560.33</v>
      </c>
      <c r="C41" s="2">
        <v>658228.05000000005</v>
      </c>
      <c r="D41" s="2">
        <v>250385.55</v>
      </c>
      <c r="E41" s="2">
        <v>248320.89</v>
      </c>
      <c r="F41" s="2">
        <v>-309143.84000000003</v>
      </c>
      <c r="G41" s="2">
        <v>131792.79</v>
      </c>
      <c r="H41" s="2">
        <v>70969.84</v>
      </c>
      <c r="I41" s="3">
        <v>26.07</v>
      </c>
      <c r="J41">
        <v>2024</v>
      </c>
      <c r="K41" t="s">
        <v>62</v>
      </c>
      <c r="L41" t="s">
        <v>46</v>
      </c>
      <c r="M41">
        <v>4</v>
      </c>
    </row>
    <row r="42" spans="1:13" ht="15.75" customHeight="1">
      <c r="A42" s="1">
        <v>45413</v>
      </c>
      <c r="B42" s="2">
        <v>721007.45</v>
      </c>
      <c r="C42" s="2">
        <v>459388.17</v>
      </c>
      <c r="D42" s="2">
        <v>212867.15</v>
      </c>
      <c r="E42" s="2">
        <v>182656.67</v>
      </c>
      <c r="F42" s="2">
        <v>-248141.18</v>
      </c>
      <c r="G42" s="2">
        <v>120759.65</v>
      </c>
      <c r="H42" s="2">
        <v>55275.14</v>
      </c>
      <c r="I42" s="3">
        <v>29.52</v>
      </c>
      <c r="J42">
        <v>2024</v>
      </c>
      <c r="K42" t="s">
        <v>62</v>
      </c>
      <c r="L42" t="s">
        <v>47</v>
      </c>
      <c r="M42">
        <v>5</v>
      </c>
    </row>
    <row r="43" spans="1:13" ht="15.75" customHeight="1">
      <c r="A43" s="1">
        <v>45444</v>
      </c>
      <c r="B43" s="2">
        <v>1088393.2</v>
      </c>
      <c r="C43" s="2">
        <v>704560.17999999993</v>
      </c>
      <c r="D43" s="2">
        <v>336025.33</v>
      </c>
      <c r="E43" s="2">
        <v>393859.05</v>
      </c>
      <c r="F43" s="2">
        <v>-104941.19</v>
      </c>
      <c r="G43" s="2">
        <v>118475.69</v>
      </c>
      <c r="H43" s="2">
        <v>407393.55</v>
      </c>
      <c r="I43" s="3">
        <v>30.87</v>
      </c>
      <c r="J43">
        <v>2024</v>
      </c>
      <c r="K43" t="s">
        <v>62</v>
      </c>
      <c r="L43" t="s">
        <v>48</v>
      </c>
      <c r="M43">
        <v>6</v>
      </c>
    </row>
    <row r="44" spans="1:13" ht="15.75" customHeight="1">
      <c r="A44" s="1">
        <v>45474</v>
      </c>
      <c r="B44" s="2">
        <v>1017607.41</v>
      </c>
      <c r="C44" s="2">
        <v>683295.17</v>
      </c>
      <c r="D44" s="2">
        <v>289535.44</v>
      </c>
      <c r="E44" s="2">
        <v>357070.46</v>
      </c>
      <c r="F44" s="2">
        <v>-171745.68</v>
      </c>
      <c r="G44" s="2">
        <v>150566.16</v>
      </c>
      <c r="H44" s="2">
        <v>335890.94</v>
      </c>
      <c r="I44" s="3">
        <v>28.45</v>
      </c>
      <c r="J44">
        <v>2024</v>
      </c>
      <c r="K44" t="s">
        <v>63</v>
      </c>
      <c r="L44" t="s">
        <v>49</v>
      </c>
      <c r="M44">
        <v>7</v>
      </c>
    </row>
    <row r="45" spans="1:13" ht="15.75" customHeight="1">
      <c r="A45" s="1">
        <v>45505</v>
      </c>
      <c r="B45" s="2">
        <v>903699.72</v>
      </c>
      <c r="C45" s="2">
        <v>575523.59</v>
      </c>
      <c r="D45" s="2">
        <v>267525.39</v>
      </c>
      <c r="E45" s="2">
        <v>286187.51</v>
      </c>
      <c r="F45" s="2">
        <v>-157874.74</v>
      </c>
      <c r="G45" s="2">
        <v>205566.49</v>
      </c>
      <c r="H45" s="2">
        <v>333879.26</v>
      </c>
      <c r="I45" s="3">
        <v>29.6</v>
      </c>
      <c r="J45">
        <v>2024</v>
      </c>
      <c r="K45" t="s">
        <v>63</v>
      </c>
      <c r="L45" t="s">
        <v>50</v>
      </c>
      <c r="M45">
        <v>8</v>
      </c>
    </row>
    <row r="46" spans="1:13" ht="15.75" customHeight="1">
      <c r="A46" s="1">
        <v>45536</v>
      </c>
      <c r="B46" s="2">
        <v>928419.42</v>
      </c>
      <c r="C46" s="2">
        <v>587958.47</v>
      </c>
      <c r="D46" s="2">
        <v>280470.09999999998</v>
      </c>
      <c r="E46" s="2">
        <v>237960.82</v>
      </c>
      <c r="F46" s="2">
        <v>-176893.37</v>
      </c>
      <c r="G46" s="2">
        <v>166504.76999999999</v>
      </c>
      <c r="H46" s="2">
        <v>227572.22</v>
      </c>
      <c r="I46" s="3">
        <v>30.21</v>
      </c>
      <c r="J46">
        <v>2024</v>
      </c>
      <c r="K46" t="s">
        <v>63</v>
      </c>
      <c r="L46" t="s">
        <v>51</v>
      </c>
      <c r="M46">
        <v>9</v>
      </c>
    </row>
    <row r="47" spans="1:13" ht="15.75" customHeight="1">
      <c r="A47" s="1">
        <v>45566</v>
      </c>
      <c r="B47" s="2">
        <v>1609651.8</v>
      </c>
      <c r="C47" s="2">
        <v>964336.6</v>
      </c>
      <c r="D47" s="2">
        <v>528630.79</v>
      </c>
      <c r="E47" s="2">
        <v>806140.79</v>
      </c>
      <c r="F47" s="2">
        <v>-138709.79999999999</v>
      </c>
      <c r="G47" s="2">
        <v>166080.78</v>
      </c>
      <c r="H47" s="2">
        <v>833511.77</v>
      </c>
      <c r="I47" s="3">
        <v>32.840000000000003</v>
      </c>
      <c r="J47">
        <v>2024</v>
      </c>
      <c r="K47" t="s">
        <v>64</v>
      </c>
      <c r="L47" t="s">
        <v>52</v>
      </c>
      <c r="M47">
        <v>10</v>
      </c>
    </row>
    <row r="48" spans="1:13" ht="15.75" customHeight="1">
      <c r="A48" s="1">
        <v>45597</v>
      </c>
      <c r="B48" s="2">
        <v>1009822.43</v>
      </c>
      <c r="C48" s="2">
        <v>631981.58000000007</v>
      </c>
      <c r="D48" s="2">
        <v>315291.31</v>
      </c>
      <c r="E48" s="2">
        <v>485189.97</v>
      </c>
      <c r="F48" s="2">
        <v>-159126.35</v>
      </c>
      <c r="G48" s="2">
        <v>201881.82</v>
      </c>
      <c r="H48" s="2">
        <v>527945.44000000006</v>
      </c>
      <c r="I48" s="3">
        <v>31.22</v>
      </c>
      <c r="J48">
        <v>2024</v>
      </c>
      <c r="K48" t="s">
        <v>64</v>
      </c>
      <c r="L48" t="s">
        <v>53</v>
      </c>
      <c r="M48">
        <v>11</v>
      </c>
    </row>
    <row r="49" spans="1:13" ht="15.75" customHeight="1">
      <c r="A49" s="1">
        <v>45627</v>
      </c>
      <c r="B49" s="2">
        <v>1009021.04</v>
      </c>
      <c r="C49" s="2">
        <v>655489.61</v>
      </c>
      <c r="D49" s="2">
        <v>291478.84000000003</v>
      </c>
      <c r="E49" s="2">
        <v>260785.83</v>
      </c>
      <c r="F49" s="2">
        <v>-244655.03</v>
      </c>
      <c r="G49" s="2">
        <v>232636.43</v>
      </c>
      <c r="H49" s="2">
        <v>248767.23</v>
      </c>
      <c r="I49" s="3">
        <v>28.89</v>
      </c>
      <c r="J49">
        <v>2024</v>
      </c>
      <c r="K49" t="s">
        <v>64</v>
      </c>
      <c r="L49" t="s">
        <v>54</v>
      </c>
      <c r="M49">
        <v>12</v>
      </c>
    </row>
    <row r="50" spans="1:13" ht="15.75" customHeight="1">
      <c r="A50" s="1">
        <v>45658</v>
      </c>
      <c r="B50" s="2">
        <v>940662.29</v>
      </c>
      <c r="C50" s="2">
        <v>549368.23</v>
      </c>
      <c r="D50" s="2">
        <v>339027.99</v>
      </c>
      <c r="E50" s="2">
        <v>432952.31</v>
      </c>
      <c r="F50" s="2">
        <v>-80420.2</v>
      </c>
      <c r="G50" s="2">
        <v>104450.7</v>
      </c>
      <c r="H50" s="2">
        <v>456982.81</v>
      </c>
      <c r="I50" s="3">
        <v>36.04</v>
      </c>
      <c r="J50">
        <v>2025</v>
      </c>
      <c r="K50" t="s">
        <v>61</v>
      </c>
      <c r="L50" t="s">
        <v>24</v>
      </c>
      <c r="M50">
        <v>1</v>
      </c>
    </row>
    <row r="51" spans="1:13" ht="15.75" customHeight="1">
      <c r="A51" s="1">
        <v>45689</v>
      </c>
      <c r="B51" s="2">
        <v>1330484.8</v>
      </c>
      <c r="C51" s="2">
        <v>867867.15</v>
      </c>
      <c r="D51" s="2">
        <v>380369.16</v>
      </c>
      <c r="E51" s="2">
        <v>520299.87</v>
      </c>
      <c r="F51" s="2">
        <v>-245242.4</v>
      </c>
      <c r="G51" s="2">
        <v>162047.65</v>
      </c>
      <c r="H51" s="2">
        <v>437105.12</v>
      </c>
      <c r="I51" s="3">
        <v>28.59</v>
      </c>
      <c r="J51">
        <v>2025</v>
      </c>
      <c r="K51" t="s">
        <v>61</v>
      </c>
      <c r="L51" t="s">
        <v>42</v>
      </c>
      <c r="M51">
        <v>2</v>
      </c>
    </row>
    <row r="52" spans="1:13" ht="15.75" customHeight="1">
      <c r="A52" s="1">
        <v>45717</v>
      </c>
      <c r="B52" s="2">
        <v>1082085.74</v>
      </c>
      <c r="C52" s="2">
        <v>711645.5</v>
      </c>
      <c r="D52" s="2">
        <v>311611.69</v>
      </c>
      <c r="E52" s="2">
        <v>460401.44</v>
      </c>
      <c r="F52" s="2">
        <v>-33351.980000000003</v>
      </c>
      <c r="G52" s="2">
        <v>205464.57</v>
      </c>
      <c r="H52" s="2">
        <v>632514.03</v>
      </c>
      <c r="I52" s="3">
        <v>28.8</v>
      </c>
      <c r="J52">
        <v>2025</v>
      </c>
      <c r="K52" t="s">
        <v>61</v>
      </c>
      <c r="L52" t="s">
        <v>45</v>
      </c>
      <c r="M52">
        <v>3</v>
      </c>
    </row>
    <row r="53" spans="1:13" ht="15.75" customHeight="1">
      <c r="A53" s="1">
        <v>45748</v>
      </c>
      <c r="B53" s="2">
        <v>322699.01</v>
      </c>
      <c r="C53" s="2">
        <v>218704.59</v>
      </c>
      <c r="D53" s="2">
        <v>89396.58</v>
      </c>
      <c r="E53" s="2">
        <v>106615.55</v>
      </c>
      <c r="F53" s="2">
        <v>-35266.720000000001</v>
      </c>
      <c r="G53" s="2">
        <v>148354.70000000001</v>
      </c>
      <c r="H53" s="2">
        <v>219703.53</v>
      </c>
      <c r="I53" s="3">
        <v>27.7</v>
      </c>
      <c r="J53">
        <v>2025</v>
      </c>
      <c r="K53" t="s">
        <v>62</v>
      </c>
      <c r="L53" t="s">
        <v>46</v>
      </c>
      <c r="M53">
        <v>4</v>
      </c>
    </row>
    <row r="54" spans="1:13" ht="15.75" customHeight="1">
      <c r="A54" s="1">
        <v>45778</v>
      </c>
      <c r="B54" s="2">
        <v>1232304.47</v>
      </c>
      <c r="C54" s="2">
        <v>853210.64999999991</v>
      </c>
      <c r="D54" s="2">
        <v>307544.2</v>
      </c>
      <c r="E54" s="2">
        <v>544644.61</v>
      </c>
      <c r="F54" s="2">
        <v>-66920.17</v>
      </c>
      <c r="G54" s="2">
        <v>137841.45000000001</v>
      </c>
      <c r="H54" s="2">
        <v>615565.89</v>
      </c>
      <c r="I54" s="3">
        <v>24.96</v>
      </c>
      <c r="J54">
        <v>2025</v>
      </c>
      <c r="K54" t="s">
        <v>62</v>
      </c>
      <c r="L54" t="s">
        <v>47</v>
      </c>
      <c r="M54">
        <v>5</v>
      </c>
    </row>
    <row r="55" spans="1:13" ht="15.75" customHeight="1">
      <c r="A55" s="1">
        <v>45809</v>
      </c>
      <c r="B55" s="2">
        <v>936725.02999999991</v>
      </c>
      <c r="C55" s="2">
        <v>609653.30000000005</v>
      </c>
      <c r="D55" s="2">
        <v>265821.90999999997</v>
      </c>
      <c r="E55" s="2">
        <v>371122.19</v>
      </c>
      <c r="F55" s="2">
        <v>-254572.08</v>
      </c>
      <c r="G55" s="2">
        <v>5278.5900000000038</v>
      </c>
      <c r="H55" s="2">
        <v>121828.7</v>
      </c>
      <c r="I55" s="3">
        <v>28.38</v>
      </c>
      <c r="J55">
        <v>2025</v>
      </c>
      <c r="K55" t="s">
        <v>62</v>
      </c>
      <c r="L55" t="s">
        <v>48</v>
      </c>
      <c r="M55">
        <v>6</v>
      </c>
    </row>
    <row r="56" spans="1:13" ht="15.75" customHeight="1">
      <c r="A56" s="1">
        <v>45839</v>
      </c>
      <c r="B56" s="2">
        <v>966202.29999999993</v>
      </c>
      <c r="C56" s="2">
        <v>585674.17000000004</v>
      </c>
      <c r="D56" s="2">
        <v>317390.84999999998</v>
      </c>
      <c r="E56" s="2">
        <v>553546.42000000004</v>
      </c>
      <c r="F56" s="2">
        <v>-106435.6</v>
      </c>
      <c r="G56" s="2">
        <v>13031.72</v>
      </c>
      <c r="H56" s="2">
        <v>460142.54</v>
      </c>
      <c r="I56" s="3">
        <v>32.85</v>
      </c>
      <c r="J56">
        <v>2025</v>
      </c>
      <c r="K56" t="s">
        <v>63</v>
      </c>
      <c r="L56" t="s">
        <v>49</v>
      </c>
      <c r="M56">
        <v>7</v>
      </c>
    </row>
    <row r="57" spans="1:13" ht="15.75" customHeight="1">
      <c r="A57" s="1">
        <v>45870</v>
      </c>
      <c r="B57" s="2">
        <v>1265055.1499999999</v>
      </c>
      <c r="C57" s="2">
        <v>793451.15</v>
      </c>
      <c r="D57" s="2">
        <v>390889.59</v>
      </c>
      <c r="E57" s="2">
        <v>504090.56</v>
      </c>
      <c r="F57" s="2">
        <v>-314688.02</v>
      </c>
      <c r="G57" s="2">
        <v>252903.96</v>
      </c>
      <c r="H57" s="2">
        <v>442306.5</v>
      </c>
      <c r="I57" s="3">
        <v>30.9</v>
      </c>
      <c r="J57">
        <v>2025</v>
      </c>
      <c r="K57" t="s">
        <v>63</v>
      </c>
      <c r="L57" t="s">
        <v>50</v>
      </c>
      <c r="M57">
        <v>8</v>
      </c>
    </row>
    <row r="58" spans="1:13" ht="15.75" customHeight="1">
      <c r="A58" s="1">
        <v>45901</v>
      </c>
      <c r="B58" s="2">
        <v>1255724.6599999999</v>
      </c>
      <c r="C58" s="2">
        <v>751434.78</v>
      </c>
      <c r="D58" s="2">
        <v>420858.63</v>
      </c>
      <c r="E58" s="2">
        <v>676991.7</v>
      </c>
      <c r="F58" s="2">
        <v>-154778.64000000001</v>
      </c>
      <c r="G58" s="2">
        <v>99884.599999999991</v>
      </c>
      <c r="H58" s="2">
        <v>622097.66</v>
      </c>
      <c r="I58" s="3">
        <v>33.520000000000003</v>
      </c>
      <c r="J58">
        <v>2025</v>
      </c>
      <c r="K58" t="s">
        <v>63</v>
      </c>
      <c r="L58" t="s">
        <v>51</v>
      </c>
      <c r="M58">
        <v>9</v>
      </c>
    </row>
    <row r="59" spans="1:13" ht="15.75" customHeight="1">
      <c r="A59" s="1">
        <v>45931</v>
      </c>
      <c r="B59" s="2">
        <v>778819.09</v>
      </c>
      <c r="C59" s="2">
        <v>465953.01</v>
      </c>
      <c r="D59" s="2">
        <v>259280.12</v>
      </c>
      <c r="E59" s="2">
        <v>426412.63</v>
      </c>
      <c r="F59" s="2">
        <v>-224534.82</v>
      </c>
      <c r="G59" s="2">
        <v>99488.72</v>
      </c>
      <c r="H59" s="2">
        <v>301366.53000000003</v>
      </c>
      <c r="I59" s="3">
        <v>33.29</v>
      </c>
      <c r="J59">
        <v>2025</v>
      </c>
      <c r="K59" t="s">
        <v>64</v>
      </c>
      <c r="L59" t="s">
        <v>52</v>
      </c>
      <c r="M59">
        <v>10</v>
      </c>
    </row>
    <row r="60" spans="1:13" ht="15.75" customHeight="1">
      <c r="A60" s="1">
        <v>45962</v>
      </c>
      <c r="B60" s="2">
        <v>760429.37</v>
      </c>
      <c r="C60" s="2">
        <v>484271.71</v>
      </c>
      <c r="D60" s="2">
        <v>222425.87</v>
      </c>
      <c r="E60" s="2">
        <v>302205.71999999997</v>
      </c>
      <c r="F60" s="2">
        <v>-155055.01</v>
      </c>
      <c r="G60" s="2">
        <v>161622.82</v>
      </c>
      <c r="H60" s="2">
        <v>308773.53000000003</v>
      </c>
      <c r="I60" s="3">
        <v>29.25</v>
      </c>
      <c r="J60">
        <v>2025</v>
      </c>
      <c r="K60" t="s">
        <v>64</v>
      </c>
      <c r="L60" t="s">
        <v>53</v>
      </c>
      <c r="M60">
        <v>11</v>
      </c>
    </row>
    <row r="61" spans="1:13" ht="15.75" customHeight="1">
      <c r="A61" s="1">
        <v>45992</v>
      </c>
      <c r="B61" s="2">
        <v>1441632.08</v>
      </c>
      <c r="C61" s="2">
        <v>828024.88</v>
      </c>
      <c r="D61" s="2">
        <v>512164.12</v>
      </c>
      <c r="E61" s="2">
        <v>801763.48</v>
      </c>
      <c r="F61" s="2">
        <v>-199726.46</v>
      </c>
      <c r="G61" s="2">
        <v>199112.85</v>
      </c>
      <c r="H61" s="2">
        <v>801149.87</v>
      </c>
      <c r="I61" s="3">
        <v>35.53</v>
      </c>
      <c r="J61">
        <v>2025</v>
      </c>
      <c r="K61" t="s">
        <v>64</v>
      </c>
      <c r="L61" t="s">
        <v>54</v>
      </c>
      <c r="M61">
        <v>12</v>
      </c>
    </row>
    <row r="62" spans="1:13" ht="15.75" customHeight="1"/>
    <row r="63" spans="1:13" ht="15.75" customHeight="1"/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F6E6-D7B0-46B6-B5BC-4C519F41F898}">
  <dimension ref="A1:L18"/>
  <sheetViews>
    <sheetView tabSelected="1" topLeftCell="E1" workbookViewId="0">
      <selection activeCell="I10" sqref="I10"/>
    </sheetView>
  </sheetViews>
  <sheetFormatPr defaultRowHeight="15"/>
  <cols>
    <col min="4" max="4" width="13.140625" bestFit="1" customWidth="1"/>
    <col min="5" max="5" width="15.5703125" bestFit="1" customWidth="1"/>
    <col min="6" max="6" width="16" bestFit="1" customWidth="1"/>
    <col min="7" max="7" width="17" bestFit="1" customWidth="1"/>
    <col min="9" max="9" width="13.140625" bestFit="1" customWidth="1"/>
    <col min="10" max="11" width="16" bestFit="1" customWidth="1"/>
    <col min="12" max="12" width="17" bestFit="1" customWidth="1"/>
  </cols>
  <sheetData>
    <row r="1" spans="1:12">
      <c r="A1" t="s">
        <v>65</v>
      </c>
      <c r="B1">
        <f>SUM(FinancialData[Revenue])</f>
        <v>61267652.209999993</v>
      </c>
      <c r="D1" s="6" t="s">
        <v>69</v>
      </c>
      <c r="E1" t="s">
        <v>71</v>
      </c>
      <c r="F1" t="s">
        <v>72</v>
      </c>
      <c r="G1" t="s">
        <v>73</v>
      </c>
      <c r="I1" s="6" t="s">
        <v>69</v>
      </c>
      <c r="J1" t="s">
        <v>71</v>
      </c>
      <c r="K1" t="s">
        <v>72</v>
      </c>
      <c r="L1" t="s">
        <v>73</v>
      </c>
    </row>
    <row r="2" spans="1:12">
      <c r="D2" s="7" t="s">
        <v>23</v>
      </c>
      <c r="E2" s="5">
        <v>9358915.6999999937</v>
      </c>
      <c r="F2" s="5">
        <v>6019823.0100000016</v>
      </c>
      <c r="G2" s="5">
        <v>2825019.7800000017</v>
      </c>
      <c r="I2" s="7" t="s">
        <v>30</v>
      </c>
      <c r="J2" s="5">
        <v>16208016.519999998</v>
      </c>
      <c r="K2" s="5">
        <v>10239218.939999992</v>
      </c>
      <c r="L2" s="5">
        <v>5024642.8999999985</v>
      </c>
    </row>
    <row r="3" spans="1:12">
      <c r="A3" t="s">
        <v>66</v>
      </c>
      <c r="B3">
        <f>SUM(FinancialData[Expenses])</f>
        <v>38726680.750000015</v>
      </c>
      <c r="D3" s="7" t="s">
        <v>55</v>
      </c>
      <c r="E3" s="5">
        <v>13149962.120000005</v>
      </c>
      <c r="F3" s="5">
        <v>8221079.2200000007</v>
      </c>
      <c r="G3" s="5">
        <v>4153156.7499999991</v>
      </c>
      <c r="I3" s="7" t="s">
        <v>26</v>
      </c>
      <c r="J3" s="5">
        <v>12775031.539999999</v>
      </c>
      <c r="K3" s="5">
        <v>8098536.7599999988</v>
      </c>
      <c r="L3" s="5">
        <v>3889264.01</v>
      </c>
    </row>
    <row r="4" spans="1:12">
      <c r="D4" s="7" t="s">
        <v>56</v>
      </c>
      <c r="E4" s="5">
        <v>13078317.740000006</v>
      </c>
      <c r="F4" s="5">
        <v>8237240.5600000033</v>
      </c>
      <c r="G4" s="5">
        <v>4047058.0500000007</v>
      </c>
      <c r="I4" s="7" t="s">
        <v>36</v>
      </c>
      <c r="J4" s="5">
        <v>16727238.499999989</v>
      </c>
      <c r="K4" s="5">
        <v>10530756.479999999</v>
      </c>
      <c r="L4" s="5">
        <v>5167955.120000001</v>
      </c>
    </row>
    <row r="5" spans="1:12">
      <c r="A5" t="s">
        <v>67</v>
      </c>
      <c r="B5">
        <f>SUM(FinancialData[Net_Profit])</f>
        <v>18865163.539999984</v>
      </c>
      <c r="D5" s="7" t="s">
        <v>57</v>
      </c>
      <c r="E5" s="5">
        <v>13367632.660000002</v>
      </c>
      <c r="F5" s="5">
        <v>8529278.8399999999</v>
      </c>
      <c r="G5" s="5">
        <v>4023148.2499999995</v>
      </c>
      <c r="I5" s="7" t="s">
        <v>34</v>
      </c>
      <c r="J5" s="5">
        <v>15557365.649999995</v>
      </c>
      <c r="K5" s="5">
        <v>9858168.570000004</v>
      </c>
      <c r="L5" s="5">
        <v>4783301.51</v>
      </c>
    </row>
    <row r="6" spans="1:12">
      <c r="D6" s="7" t="s">
        <v>58</v>
      </c>
      <c r="E6" s="5">
        <v>12312823.989999996</v>
      </c>
      <c r="F6" s="5">
        <v>7719259.1200000038</v>
      </c>
      <c r="G6" s="5">
        <v>3816780.7099999995</v>
      </c>
      <c r="I6" s="7" t="s">
        <v>70</v>
      </c>
      <c r="J6" s="5">
        <v>61267652.209999979</v>
      </c>
      <c r="K6" s="5">
        <v>38726680.75</v>
      </c>
      <c r="L6" s="5">
        <v>18865163.539999999</v>
      </c>
    </row>
    <row r="7" spans="1:12">
      <c r="A7" t="s">
        <v>68</v>
      </c>
      <c r="B7">
        <f>SUM(FinancialData[Net_Profit])/SUM(FinancialData[Revenue])</f>
        <v>0.30791392944743601</v>
      </c>
      <c r="D7" s="7" t="s">
        <v>70</v>
      </c>
      <c r="E7" s="5">
        <v>61267652.210000001</v>
      </c>
      <c r="F7" s="5">
        <v>38726680.750000007</v>
      </c>
      <c r="G7" s="5">
        <v>18865163.540000003</v>
      </c>
    </row>
    <row r="10" spans="1:12">
      <c r="D10" s="6" t="s">
        <v>69</v>
      </c>
      <c r="E10" t="s">
        <v>71</v>
      </c>
      <c r="F10" t="s">
        <v>72</v>
      </c>
      <c r="G10" t="s">
        <v>73</v>
      </c>
      <c r="I10" s="6" t="s">
        <v>69</v>
      </c>
      <c r="J10" t="s">
        <v>72</v>
      </c>
    </row>
    <row r="11" spans="1:12">
      <c r="D11" s="7" t="s">
        <v>40</v>
      </c>
      <c r="E11" s="5">
        <v>9506526.9299999978</v>
      </c>
      <c r="F11" s="5">
        <v>6018615.4999999953</v>
      </c>
      <c r="G11" s="5">
        <v>2940835.209999999</v>
      </c>
      <c r="I11" s="7" t="s">
        <v>29</v>
      </c>
      <c r="J11" s="5">
        <v>5799043.3100000005</v>
      </c>
    </row>
    <row r="12" spans="1:12">
      <c r="D12" s="7" t="s">
        <v>25</v>
      </c>
      <c r="E12" s="5">
        <v>11825620.67</v>
      </c>
      <c r="F12" s="5">
        <v>7314382.3699999973</v>
      </c>
      <c r="G12" s="5">
        <v>3793005.350000001</v>
      </c>
      <c r="I12" s="7" t="s">
        <v>37</v>
      </c>
      <c r="J12" s="5">
        <v>5505630.9000000004</v>
      </c>
    </row>
    <row r="13" spans="1:12">
      <c r="D13" s="7" t="s">
        <v>43</v>
      </c>
      <c r="E13" s="5">
        <v>10007763.759999998</v>
      </c>
      <c r="F13" s="5">
        <v>6329470.8400000026</v>
      </c>
      <c r="G13" s="5">
        <v>3055923.8300000015</v>
      </c>
      <c r="I13" s="7" t="s">
        <v>28</v>
      </c>
      <c r="J13" s="5">
        <v>5613670.6700000009</v>
      </c>
    </row>
    <row r="14" spans="1:12">
      <c r="D14" s="7" t="s">
        <v>29</v>
      </c>
      <c r="E14" s="5">
        <v>11147852.189999992</v>
      </c>
      <c r="F14" s="5">
        <v>7169948.3800000008</v>
      </c>
      <c r="G14" s="5">
        <v>3339920.0699999989</v>
      </c>
      <c r="I14" s="7" t="s">
        <v>32</v>
      </c>
      <c r="J14" s="5">
        <v>6495409.3599999994</v>
      </c>
    </row>
    <row r="15" spans="1:12">
      <c r="D15" s="7" t="s">
        <v>37</v>
      </c>
      <c r="E15" s="5">
        <v>10326461.639999999</v>
      </c>
      <c r="F15" s="5">
        <v>6614195.8899999997</v>
      </c>
      <c r="G15" s="5">
        <v>3081999.57</v>
      </c>
      <c r="I15" s="7" t="s">
        <v>41</v>
      </c>
      <c r="J15" s="5">
        <v>4729785.6999999993</v>
      </c>
    </row>
    <row r="16" spans="1:12">
      <c r="D16" s="7" t="s">
        <v>33</v>
      </c>
      <c r="E16" s="5">
        <v>8453427.0200000014</v>
      </c>
      <c r="F16" s="5">
        <v>5280067.7700000005</v>
      </c>
      <c r="G16" s="5">
        <v>2653479.5099999998</v>
      </c>
      <c r="I16" s="7" t="s">
        <v>39</v>
      </c>
      <c r="J16" s="5">
        <v>6183765.959999999</v>
      </c>
    </row>
    <row r="17" spans="4:10">
      <c r="D17" s="7" t="s">
        <v>70</v>
      </c>
      <c r="E17" s="5">
        <v>61267652.209999993</v>
      </c>
      <c r="F17" s="5">
        <v>38726680.75</v>
      </c>
      <c r="G17" s="5">
        <v>18865163.539999999</v>
      </c>
      <c r="I17" s="7" t="s">
        <v>44</v>
      </c>
      <c r="J17" s="5">
        <v>4399374.8500000015</v>
      </c>
    </row>
    <row r="18" spans="4:10">
      <c r="I18" s="7" t="s">
        <v>70</v>
      </c>
      <c r="J18" s="5">
        <v>38726680.75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Financial_Data</vt:lpstr>
      <vt:lpstr>Monthly_Summary</vt:lpstr>
      <vt:lpstr>Excel_Analysis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Anushree V</cp:lastModifiedBy>
  <dcterms:created xsi:type="dcterms:W3CDTF">2026-09-25T13:19:10Z</dcterms:created>
  <dcterms:modified xsi:type="dcterms:W3CDTF">2026-09-25T13:41:26Z</dcterms:modified>
</cp:coreProperties>
</file>